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 KUMAR JHA\Downloads\"/>
    </mc:Choice>
  </mc:AlternateContent>
  <xr:revisionPtr revIDLastSave="0" documentId="8_{F16D0121-E5DF-4286-92B3-95FAB255DEC5}" xr6:coauthVersionLast="47" xr6:coauthVersionMax="47" xr10:uidLastSave="{00000000-0000-0000-0000-000000000000}"/>
  <bookViews>
    <workbookView xWindow="-108" yWindow="-108" windowWidth="23256" windowHeight="12456" xr2:uid="{1A9DF0CF-0925-489F-8D54-9128CA439866}"/>
  </bookViews>
  <sheets>
    <sheet name="practical 1" sheetId="1" r:id="rId1"/>
    <sheet name="practical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5" i="2"/>
  <c r="D15" i="2"/>
  <c r="E15" i="2"/>
  <c r="D13" i="2"/>
  <c r="E13" i="2"/>
  <c r="C13" i="2"/>
  <c r="D12" i="2"/>
  <c r="E12" i="2"/>
  <c r="C12" i="2"/>
  <c r="D11" i="2"/>
  <c r="E11" i="2"/>
  <c r="B6" i="1"/>
  <c r="B7" i="1"/>
  <c r="B8" i="1"/>
  <c r="B9" i="1"/>
  <c r="B10" i="1"/>
  <c r="B11" i="1"/>
  <c r="B12" i="1"/>
  <c r="B13" i="1"/>
  <c r="B14" i="1"/>
  <c r="B15" i="1"/>
  <c r="B16" i="1"/>
  <c r="B17" i="1"/>
  <c r="B5" i="1"/>
</calcChain>
</file>

<file path=xl/sharedStrings.xml><?xml version="1.0" encoding="utf-8"?>
<sst xmlns="http://schemas.openxmlformats.org/spreadsheetml/2006/main" count="28" uniqueCount="28">
  <si>
    <t>n(no of trials</t>
  </si>
  <si>
    <t>p(probability of success onn given trials)</t>
  </si>
  <si>
    <t xml:space="preserve">           k(no of success)</t>
  </si>
  <si>
    <t>Binomial Distribution</t>
  </si>
  <si>
    <t>Category</t>
  </si>
  <si>
    <t>Label</t>
  </si>
  <si>
    <t>1st Case</t>
  </si>
  <si>
    <t>2nd Case</t>
  </si>
  <si>
    <t>3rd Case</t>
  </si>
  <si>
    <t>Red</t>
  </si>
  <si>
    <t>Green</t>
  </si>
  <si>
    <t>Blue</t>
  </si>
  <si>
    <t>P_Red</t>
  </si>
  <si>
    <t>P_Green</t>
  </si>
  <si>
    <t>P_Blue</t>
  </si>
  <si>
    <t>X1</t>
  </si>
  <si>
    <t>X2</t>
  </si>
  <si>
    <t>X3</t>
  </si>
  <si>
    <t>P1</t>
  </si>
  <si>
    <t>P2</t>
  </si>
  <si>
    <t>P3</t>
  </si>
  <si>
    <t xml:space="preserve">Mutinomial </t>
  </si>
  <si>
    <t>P1^X1</t>
  </si>
  <si>
    <t>P2^X2</t>
  </si>
  <si>
    <t>P3^X3</t>
  </si>
  <si>
    <t>Probability</t>
  </si>
  <si>
    <t>Multinomial</t>
  </si>
  <si>
    <t>Distribution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</si>
</sst>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'practical 1'!$B$4</c:f>
              <c:strCache>
                <c:ptCount val="1"/>
                <c:pt idx="0">
                  <c:v>Binomial Distribution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'practical 1'!$A$5:$A$17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'practical 1'!$B$5:$B$17</c:f>
              <c:numCache>
                <c:formatCode>General</c:formatCode>
                <c:ptCount val="13"/>
                <c:pt idx="0">
                  <c:v>4.0959999999999933E-9</c:v>
                </c:pt>
                <c:pt idx="1">
                  <c:v>1.9660799999999993E-7</c:v>
                </c:pt>
                <c:pt idx="2">
                  <c:v>4.3253759999999791E-6</c:v>
                </c:pt>
                <c:pt idx="3">
                  <c:v>5.7671679999999842E-5</c:v>
                </c:pt>
                <c:pt idx="4">
                  <c:v>5.1904511999999951E-4</c:v>
                </c:pt>
                <c:pt idx="5">
                  <c:v>3.3218887679999937E-3</c:v>
                </c:pt>
                <c:pt idx="6">
                  <c:v>1.550214758399999E-2</c:v>
                </c:pt>
                <c:pt idx="7">
                  <c:v>5.3150220287999962E-2</c:v>
                </c:pt>
                <c:pt idx="8">
                  <c:v>0.13287555071999999</c:v>
                </c:pt>
                <c:pt idx="9">
                  <c:v>0.23622320127999991</c:v>
                </c:pt>
                <c:pt idx="10">
                  <c:v>0.28346784153600002</c:v>
                </c:pt>
                <c:pt idx="11">
                  <c:v>0.20615843020800007</c:v>
                </c:pt>
                <c:pt idx="12">
                  <c:v>6.871947673600004E-2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4BA5-A5B7-F87FD368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261295"/>
        <c:axId val="1156270415"/>
      </c:barChart>
      <c:catAx>
        <c:axId val="11562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70415"/>
        <c:crosses val="autoZero"/>
        <c:auto val="1"/>
        <c:lblAlgn val="ctr"/>
        <c:lblOffset val="100"/>
        <c:noMultiLvlLbl val="0"/>
      </c:catAx>
      <c:valAx>
        <c:axId val="115627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practical2!$C$17</c:f>
              <c:strCache>
                <c:ptCount val="1"/>
                <c:pt idx="0">
                  <c:v>Multinomial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practical2!$C$18:$C$20</c:f>
              <c:numCache>
                <c:formatCode>General</c:formatCode>
                <c:ptCount val="3"/>
                <c:pt idx="0">
                  <c:v>2520</c:v>
                </c:pt>
                <c:pt idx="1">
                  <c:v>280</c:v>
                </c:pt>
                <c:pt idx="2">
                  <c:v>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A4-4F51-9E35-7A8256266070}"/>
            </c:ext>
          </c:extLst>
        </c:ser>
        <c:ser>
          <c:idx val="1"/>
          <c:order val="1"/>
          <c:tx>
            <c:strRef>
              <c:f>practical2!$D$17</c:f>
              <c:strCache>
                <c:ptCount val="1"/>
                <c:pt idx="0">
                  <c:v>Distribution Probability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practical2!$D$18:$D$20</c:f>
              <c:numCache>
                <c:formatCode>General</c:formatCode>
                <c:ptCount val="3"/>
                <c:pt idx="0">
                  <c:v>6.6060287999999995E-2</c:v>
                </c:pt>
                <c:pt idx="1">
                  <c:v>9.1750399999999996E-2</c:v>
                </c:pt>
                <c:pt idx="2">
                  <c:v>8.6015999999999995E-2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A4-4F51-9E35-7A8256266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3807471"/>
        <c:axId val="1823807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practical2!$E$17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practical2!$E$18:$E$20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1A4-4F51-9E35-7A8256266070}"/>
                  </c:ext>
                </c:extLst>
              </c15:ser>
            </c15:filteredLineSeries>
          </c:ext>
        </c:extLst>
      </c:lineChart>
      <c:catAx>
        <c:axId val="182380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951"/>
        <c:crosses val="autoZero"/>
        <c:auto val="1"/>
        <c:lblAlgn val="ctr"/>
        <c:lblOffset val="100"/>
        <c:noMultiLvlLbl val="0"/>
      </c:catAx>
      <c:valAx>
        <c:axId val="1823807951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80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83820</xdr:colOff>
      <xdr:row>2</xdr:row>
      <xdr:rowOff>160020</xdr:rowOff>
    </xdr:from>
    <xdr:to>
      <xdr:col>6</xdr:col>
      <xdr:colOff>53340</xdr:colOff>
      <xdr:row>16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DDA6C-A953-B49F-9AB8-EC5F28CBE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3</xdr:row>
      <xdr:rowOff>76200</xdr:rowOff>
    </xdr:from>
    <xdr:to>
      <xdr:col>13</xdr:col>
      <xdr:colOff>83820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44CC6-C17C-665F-CF18-FA63579E40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D80A-DD3C-46AF-8853-D1730335EA5A}">
  <dimension ref="A1:B17"/>
  <sheetViews>
    <sheetView tabSelected="1" workbookViewId="0">
      <selection activeCell="A21" sqref="A21"/>
    </sheetView>
  </sheetViews>
  <sheetFormatPr defaultRowHeight="14.4" x14ac:dyDescent="0.3"/>
  <cols>
    <col min="1" max="1" width="33.33203125" customWidth="1"/>
    <col min="2" max="2" width="17.88671875" customWidth="1"/>
  </cols>
  <sheetData>
    <row r="1" spans="1:2" x14ac:dyDescent="0.3">
      <c r="A1" t="s">
        <v>0</v>
      </c>
      <c r="B1">
        <v>12</v>
      </c>
    </row>
    <row r="2" spans="1:2" x14ac:dyDescent="0.3">
      <c r="A2" t="s">
        <v>1</v>
      </c>
      <c r="B2">
        <v>0.8</v>
      </c>
    </row>
    <row r="4" spans="1:2" x14ac:dyDescent="0.3">
      <c r="A4" t="s">
        <v>2</v>
      </c>
      <c r="B4" t="s">
        <v>3</v>
      </c>
    </row>
    <row r="5" spans="1:2" x14ac:dyDescent="0.3">
      <c r="A5">
        <v>0</v>
      </c>
      <c r="B5">
        <f>_xlfn.BINOM.DIST(A5,$B$1,$B$2,FALSE)</f>
        <v>4.0959999999999933E-9</v>
      </c>
    </row>
    <row r="6" spans="1:2" x14ac:dyDescent="0.3">
      <c r="A6">
        <v>1</v>
      </c>
      <c r="B6">
        <f t="shared" ref="B6:B17" si="0">_xlfn.BINOM.DIST(A6,$B$1,$B$2,FALSE)</f>
        <v>1.9660799999999993E-7</v>
      </c>
    </row>
    <row r="7" spans="1:2" x14ac:dyDescent="0.3">
      <c r="A7">
        <v>2</v>
      </c>
      <c r="B7">
        <f t="shared" si="0"/>
        <v>4.3253759999999791E-6</v>
      </c>
    </row>
    <row r="8" spans="1:2" x14ac:dyDescent="0.3">
      <c r="A8">
        <v>3</v>
      </c>
      <c r="B8">
        <f t="shared" si="0"/>
        <v>5.7671679999999842E-5</v>
      </c>
    </row>
    <row r="9" spans="1:2" x14ac:dyDescent="0.3">
      <c r="A9">
        <v>4</v>
      </c>
      <c r="B9">
        <f t="shared" si="0"/>
        <v>5.1904511999999951E-4</v>
      </c>
    </row>
    <row r="10" spans="1:2" x14ac:dyDescent="0.3">
      <c r="A10">
        <v>5</v>
      </c>
      <c r="B10">
        <f t="shared" si="0"/>
        <v>3.3218887679999937E-3</v>
      </c>
    </row>
    <row r="11" spans="1:2" x14ac:dyDescent="0.3">
      <c r="A11">
        <v>6</v>
      </c>
      <c r="B11">
        <f t="shared" si="0"/>
        <v>1.550214758399999E-2</v>
      </c>
    </row>
    <row r="12" spans="1:2" x14ac:dyDescent="0.3">
      <c r="A12">
        <v>7</v>
      </c>
      <c r="B12">
        <f t="shared" si="0"/>
        <v>5.3150220287999962E-2</v>
      </c>
    </row>
    <row r="13" spans="1:2" x14ac:dyDescent="0.3">
      <c r="A13">
        <v>8</v>
      </c>
      <c r="B13">
        <f t="shared" si="0"/>
        <v>0.13287555071999999</v>
      </c>
    </row>
    <row r="14" spans="1:2" x14ac:dyDescent="0.3">
      <c r="A14">
        <v>9</v>
      </c>
      <c r="B14">
        <f t="shared" si="0"/>
        <v>0.23622320127999991</v>
      </c>
    </row>
    <row r="15" spans="1:2" x14ac:dyDescent="0.3">
      <c r="A15">
        <v>10</v>
      </c>
      <c r="B15">
        <f t="shared" si="0"/>
        <v>0.28346784153600002</v>
      </c>
    </row>
    <row r="16" spans="1:2" x14ac:dyDescent="0.3">
      <c r="A16">
        <v>11</v>
      </c>
      <c r="B16">
        <f t="shared" si="0"/>
        <v>0.20615843020800007</v>
      </c>
    </row>
    <row r="17" spans="1:2" x14ac:dyDescent="0.3">
      <c r="A17">
        <v>12</v>
      </c>
      <c r="B17">
        <f t="shared" si="0"/>
        <v>6.871947673600004E-2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F807-2B47-476C-914C-8CF65BA149D8}">
  <dimension ref="A1:E20"/>
  <sheetViews>
    <sheetView workbookViewId="0">
      <selection activeCell="E14" sqref="E14"/>
    </sheetView>
  </sheetViews>
  <sheetFormatPr defaultRowHeight="14.4" x14ac:dyDescent="0.3"/>
  <cols>
    <col min="1" max="1" width="15.109375" customWidth="1"/>
    <col min="3" max="3" width="12.21875" customWidth="1"/>
    <col min="4" max="4" width="13.44140625" customWidth="1"/>
    <col min="5" max="5" width="10.44140625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 t="s">
        <v>15</v>
      </c>
      <c r="C2">
        <v>3</v>
      </c>
      <c r="D2">
        <v>4</v>
      </c>
      <c r="E2">
        <v>2</v>
      </c>
    </row>
    <row r="3" spans="1:5" x14ac:dyDescent="0.3">
      <c r="A3" t="s">
        <v>10</v>
      </c>
      <c r="B3" t="s">
        <v>16</v>
      </c>
      <c r="C3">
        <v>2</v>
      </c>
      <c r="D3">
        <v>1</v>
      </c>
      <c r="E3">
        <v>2</v>
      </c>
    </row>
    <row r="4" spans="1:5" x14ac:dyDescent="0.3">
      <c r="A4" t="s">
        <v>11</v>
      </c>
      <c r="B4" t="s">
        <v>17</v>
      </c>
      <c r="C4">
        <v>5</v>
      </c>
      <c r="D4">
        <v>3</v>
      </c>
      <c r="E4">
        <v>3</v>
      </c>
    </row>
    <row r="6" spans="1:5" x14ac:dyDescent="0.3">
      <c r="A6" t="s">
        <v>12</v>
      </c>
      <c r="B6" t="s">
        <v>18</v>
      </c>
      <c r="C6">
        <v>0.4</v>
      </c>
      <c r="D6">
        <v>0.4</v>
      </c>
      <c r="E6">
        <v>0.4</v>
      </c>
    </row>
    <row r="7" spans="1:5" x14ac:dyDescent="0.3">
      <c r="A7" t="s">
        <v>13</v>
      </c>
      <c r="B7" t="s">
        <v>19</v>
      </c>
      <c r="C7">
        <v>0.2</v>
      </c>
      <c r="D7">
        <v>0.2</v>
      </c>
      <c r="E7">
        <v>0.2</v>
      </c>
    </row>
    <row r="8" spans="1:5" x14ac:dyDescent="0.3">
      <c r="A8" t="s">
        <v>14</v>
      </c>
      <c r="B8" t="s">
        <v>20</v>
      </c>
      <c r="C8">
        <v>0.4</v>
      </c>
      <c r="D8">
        <v>0.4</v>
      </c>
      <c r="E8">
        <v>0.4</v>
      </c>
    </row>
    <row r="10" spans="1:5" x14ac:dyDescent="0.3">
      <c r="A10" t="s">
        <v>21</v>
      </c>
      <c r="C10">
        <v>2520</v>
      </c>
      <c r="D10">
        <v>280</v>
      </c>
      <c r="E10">
        <v>210</v>
      </c>
    </row>
    <row r="11" spans="1:5" x14ac:dyDescent="0.3">
      <c r="A11" t="s">
        <v>22</v>
      </c>
      <c r="C11">
        <f>C6^C2</f>
        <v>6.4000000000000015E-2</v>
      </c>
      <c r="D11">
        <f t="shared" ref="D11:E11" si="0">D6^D2</f>
        <v>2.5600000000000012E-2</v>
      </c>
      <c r="E11">
        <f t="shared" si="0"/>
        <v>0.16000000000000003</v>
      </c>
    </row>
    <row r="12" spans="1:5" x14ac:dyDescent="0.3">
      <c r="A12" t="s">
        <v>23</v>
      </c>
      <c r="C12">
        <f>C7^C3</f>
        <v>4.0000000000000008E-2</v>
      </c>
      <c r="D12">
        <f t="shared" ref="D12:E12" si="1">D7^D3</f>
        <v>0.2</v>
      </c>
      <c r="E12">
        <f t="shared" si="1"/>
        <v>4.0000000000000008E-2</v>
      </c>
    </row>
    <row r="13" spans="1:5" x14ac:dyDescent="0.3">
      <c r="A13" t="s">
        <v>24</v>
      </c>
      <c r="C13">
        <f>C8^C4</f>
        <v>1.0240000000000006E-2</v>
      </c>
      <c r="D13">
        <f t="shared" ref="D13:E13" si="2">D8^D4</f>
        <v>6.4000000000000015E-2</v>
      </c>
      <c r="E13">
        <f t="shared" si="2"/>
        <v>6.4000000000000015E-2</v>
      </c>
    </row>
    <row r="15" spans="1:5" x14ac:dyDescent="0.3">
      <c r="A15" t="s">
        <v>25</v>
      </c>
      <c r="C15">
        <f>C10*C11*C12*C13</f>
        <v>6.6060288000000064E-2</v>
      </c>
      <c r="D15">
        <f t="shared" ref="D15:E15" si="3">D10*D11*D12*D13</f>
        <v>9.1750400000000065E-2</v>
      </c>
      <c r="E15">
        <f t="shared" si="3"/>
        <v>8.6016000000000051E-2</v>
      </c>
    </row>
    <row r="17" spans="3:4" x14ac:dyDescent="0.3">
      <c r="C17" t="s">
        <v>26</v>
      </c>
      <c r="D17" t="s">
        <v>27</v>
      </c>
    </row>
    <row r="18" spans="3:4" x14ac:dyDescent="0.3">
      <c r="C18">
        <v>2520</v>
      </c>
      <c r="D18">
        <v>6.6060287999999995E-2</v>
      </c>
    </row>
    <row r="19" spans="3:4" x14ac:dyDescent="0.3">
      <c r="C19">
        <v>280</v>
      </c>
      <c r="D19">
        <v>9.1750399999999996E-2</v>
      </c>
    </row>
    <row r="20" spans="3:4" x14ac:dyDescent="0.3">
      <c r="C20">
        <v>210</v>
      </c>
      <c r="D20">
        <v>8.6015999999999995E-2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F187A-58D9-4D3A-8850-114BF0BB05D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practical 1</vt:lpstr>
      <vt:lpstr>practical2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Jha</dc:creator>
  <cp:lastModifiedBy>Aditya Jha</cp:lastModifiedBy>
  <dcterms:created xsi:type="dcterms:W3CDTF">2026-04-29T11:26:26Z</dcterms:created>
  <dcterms:modified xsi:type="dcterms:W3CDTF">2026-04-29T17:52:47Z</dcterms:modified>
</cp:coreProperties>
</file>