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2AE70D7C-0F09-41BC-A846-5742ADA64BBD}" xr6:coauthVersionLast="47" xr6:coauthVersionMax="47" xr10:uidLastSave="{00000000-0000-0000-0000-000000000000}"/>
  <bookViews>
    <workbookView xWindow="11424" yWindow="0" windowWidth="11712" windowHeight="12336" firstSheet="7" activeTab="9" xr2:uid="{1A9DF0CF-0925-489F-8D54-9128CA439866}"/>
  </bookViews>
  <sheets>
    <sheet name="practical 1" sheetId="1" r:id="rId1"/>
    <sheet name="practical2" sheetId="2" r:id="rId2"/>
    <sheet name="practical3" sheetId="3" r:id="rId3"/>
    <sheet name="practical4" sheetId="4" r:id="rId4"/>
    <sheet name="Practical5" sheetId="5" r:id="rId5"/>
    <sheet name="practical6" sheetId="6" r:id="rId6"/>
    <sheet name="practical7" sheetId="7" r:id="rId7"/>
    <sheet name="practical8" sheetId="8" r:id="rId8"/>
    <sheet name="practical9" sheetId="9" r:id="rId9"/>
    <sheet name="practical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0" l="1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4" i="10"/>
  <c r="E3" i="9"/>
  <c r="E4" i="9"/>
  <c r="E5" i="9"/>
  <c r="E6" i="9"/>
  <c r="E7" i="9"/>
  <c r="E8" i="9"/>
  <c r="E9" i="9"/>
  <c r="E2" i="9"/>
  <c r="C3" i="9"/>
  <c r="C4" i="9"/>
  <c r="C5" i="9"/>
  <c r="C6" i="9"/>
  <c r="C7" i="9"/>
  <c r="C8" i="9"/>
  <c r="C9" i="9"/>
  <c r="C2" i="9"/>
  <c r="B3" i="9"/>
  <c r="B4" i="9"/>
  <c r="B5" i="9"/>
  <c r="B6" i="9"/>
  <c r="B7" i="9"/>
  <c r="B8" i="9"/>
  <c r="B9" i="9"/>
  <c r="B2" i="9"/>
  <c r="G5" i="9"/>
  <c r="E4" i="8"/>
  <c r="E5" i="8"/>
  <c r="E6" i="8"/>
  <c r="E7" i="8"/>
  <c r="E8" i="8"/>
  <c r="E9" i="8"/>
  <c r="E10" i="8"/>
  <c r="E11" i="8"/>
  <c r="E12" i="8"/>
  <c r="E3" i="8"/>
  <c r="B4" i="8"/>
  <c r="B5" i="8"/>
  <c r="B6" i="8"/>
  <c r="B7" i="8"/>
  <c r="B8" i="8"/>
  <c r="B9" i="8"/>
  <c r="B10" i="8"/>
  <c r="B11" i="8"/>
  <c r="B12" i="8"/>
  <c r="B13" i="8"/>
  <c r="B3" i="8"/>
  <c r="A1" i="8"/>
  <c r="C3" i="7"/>
  <c r="C4" i="7"/>
  <c r="C5" i="7"/>
  <c r="C6" i="7"/>
  <c r="C7" i="7"/>
  <c r="C8" i="7"/>
  <c r="C9" i="7"/>
  <c r="C10" i="7"/>
  <c r="C11" i="7"/>
  <c r="C2" i="7"/>
  <c r="F4" i="6"/>
  <c r="G4" i="6"/>
  <c r="E4" i="6"/>
  <c r="A2" i="6"/>
  <c r="A3" i="6"/>
  <c r="D8" i="5"/>
  <c r="E8" i="5"/>
  <c r="C8" i="5"/>
  <c r="B4" i="4"/>
  <c r="B5" i="4"/>
  <c r="B6" i="4"/>
  <c r="B7" i="4"/>
  <c r="B8" i="4"/>
  <c r="B9" i="4"/>
  <c r="B10" i="4"/>
  <c r="B3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3" i="3"/>
  <c r="C11" i="2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<sst xmlns="http://schemas.openxmlformats.org/spreadsheetml/2006/main" count="76" uniqueCount="68">
  <si>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</si>
  <si>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</si>
  <si>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</si>
  <si>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</si>
  <si>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</si>
  <si>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</si>
  <si>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</si>
  <si>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</si>
  <si>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</si>
  <si>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</si>
  <si>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</si>
  <si>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</si>
  <si>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</si>
  <si>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</si>
  <si>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</si>
  <si>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</si>
  <si>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</si>
  <si>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</si>
  <si>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</si>
  <si>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</si>
  <si>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</si>
  <si>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</si>
  <si>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</si>
  <si>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</si>
  <si>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</si>
  <si>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</si>
  <si>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</si>
  <si>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</si>
  <si>
    <t>λ(Mean no of success</t>
  </si>
  <si>
    <t>Poisson Distribution</t>
  </si>
  <si>
    <t>K(No of success)</t>
  </si>
  <si>
    <t>prob. Of success of on given trial(p)</t>
  </si>
  <si>
    <t>No. of failures before first success</t>
  </si>
  <si>
    <t xml:space="preserve">Geometric Distribution </t>
  </si>
  <si>
    <t>case1</t>
  </si>
  <si>
    <t>case2</t>
  </si>
  <si>
    <t>case3</t>
  </si>
  <si>
    <t>a</t>
  </si>
  <si>
    <t>b</t>
  </si>
  <si>
    <t>x_1</t>
  </si>
  <si>
    <t>x_2</t>
  </si>
  <si>
    <t>Uniform Distribution</t>
  </si>
  <si>
    <t>exponential distribution</t>
  </si>
  <si>
    <t>x</t>
  </si>
  <si>
    <t>Node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</si>
  <si>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</si>
  <si>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</si>
  <si>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</si>
  <si>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</si>
  <si>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</si>
  <si>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</si>
  <si>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</si>
  <si>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</si>
  <si>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</si>
  <si>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</si>
  <si>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Battery Life(Column)</t>
  </si>
  <si>
    <t>Normal Distribution(Column C)</t>
  </si>
  <si>
    <t>X</t>
  </si>
  <si>
    <t>Exponential Distribution CDF</t>
  </si>
  <si>
    <t>Mean</t>
  </si>
  <si>
    <t>Normal Distribution CDF</t>
  </si>
  <si>
    <t>Std. Deviation</t>
  </si>
  <si>
    <t>Trial</t>
  </si>
  <si>
    <t>Distance</t>
  </si>
  <si>
    <t>n</t>
  </si>
  <si>
    <t>p</t>
  </si>
  <si>
    <t>k(No. of Successes)</t>
  </si>
  <si>
    <t>Binomial Distribution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</si>
</sst>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30096237970235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practical3!$B$2</c:f>
              <c:strCache>
                <c:ptCount val="1"/>
                <c:pt idx="0">
                  <c:v>Poisson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practical3!$A$3:$A$18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practical3!$B$3:$B$18</c:f>
              <c:numCache>
                <c:formatCode>General</c:formatCode>
                <c:ptCount val="16"/>
                <c:pt idx="0">
                  <c:v>1.6701700790245659E-5</c:v>
                </c:pt>
                <c:pt idx="1">
                  <c:v>1.8371870869270227E-4</c:v>
                </c:pt>
                <c:pt idx="2">
                  <c:v>1.0104528978098631E-3</c:v>
                </c:pt>
                <c:pt idx="3">
                  <c:v>3.7049939586361628E-3</c:v>
                </c:pt>
                <c:pt idx="4">
                  <c:v>1.0188733386249446E-2</c:v>
                </c:pt>
                <c:pt idx="5">
                  <c:v>2.241521344974878E-2</c:v>
                </c:pt>
                <c:pt idx="6">
                  <c:v>4.1094557991206107E-2</c:v>
                </c:pt>
                <c:pt idx="7">
                  <c:v>6.4577162557609605E-2</c:v>
                </c:pt>
                <c:pt idx="8">
                  <c:v>8.8793598516713187E-2</c:v>
                </c:pt>
                <c:pt idx="9">
                  <c:v>0.10852550929820498</c:v>
                </c:pt>
                <c:pt idx="10">
                  <c:v>0.1193780602280255</c:v>
                </c:pt>
                <c:pt idx="11">
                  <c:v>0.1193780602280255</c:v>
                </c:pt>
                <c:pt idx="12">
                  <c:v>0.10942988854235672</c:v>
                </c:pt>
                <c:pt idx="13">
                  <c:v>9.2594521074301842E-2</c:v>
                </c:pt>
                <c:pt idx="14">
                  <c:v>7.2752837986951438E-2</c:v>
                </c:pt>
                <c:pt idx="15">
                  <c:v>5.3352081190431062E-2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D-4F2B-ACEB-35621A72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90783"/>
        <c:axId val="1819388383"/>
      </c:barChart>
      <c:catAx>
        <c:axId val="18193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8383"/>
        <c:crosses val="autoZero"/>
        <c:auto val="1"/>
        <c:lblAlgn val="ctr"/>
        <c:lblOffset val="100"/>
        <c:noMultiLvlLbl val="0"/>
      </c:catAx>
      <c:valAx>
        <c:axId val="18193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practical4!$B$2</c:f>
              <c:strCache>
                <c:ptCount val="1"/>
                <c:pt idx="0">
                  <c:v>Geometric Distribution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practical4!$A$3:$A$10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practical4!$B$3:$B$10</c:f>
              <c:numCache>
                <c:formatCode>General</c:formatCode>
                <c:ptCount val="8"/>
                <c:pt idx="0">
                  <c:v>0.3</c:v>
                </c:pt>
                <c:pt idx="1">
                  <c:v>0.21</c:v>
                </c:pt>
                <c:pt idx="2">
                  <c:v>0.14699999999999996</c:v>
                </c:pt>
                <c:pt idx="3">
                  <c:v>0.10289999999999998</c:v>
                </c:pt>
                <c:pt idx="4">
                  <c:v>7.2029999999999969E-2</c:v>
                </c:pt>
                <c:pt idx="5">
                  <c:v>5.042099999999998E-2</c:v>
                </c:pt>
                <c:pt idx="6">
                  <c:v>3.5294699999999984E-2</c:v>
                </c:pt>
                <c:pt idx="7">
                  <c:v>2.4706289999999985E-2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E-4E5B-884B-00518231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84063"/>
        <c:axId val="1819392703"/>
      </c:barChart>
      <c:catAx>
        <c:axId val="18193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2703"/>
        <c:crosses val="autoZero"/>
        <c:auto val="1"/>
        <c:lblAlgn val="ctr"/>
        <c:lblOffset val="100"/>
        <c:noMultiLvlLbl val="0"/>
      </c:catAx>
      <c:valAx>
        <c:axId val="18193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Practical5!$A$8</c:f>
              <c:strCache>
                <c:ptCount val="1"/>
                <c:pt idx="0">
                  <c:v>Uniform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Practical5!$B$8:$E$8</c:f>
              <c:numCache>
                <c:formatCode>General</c:formatCode>
                <c:ptCount val="4"/>
                <c:pt idx="1">
                  <c:v>0.2</c:v>
                </c:pt>
                <c:pt idx="2">
                  <c:v>0.25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4-43EF-9C46-B235B7A8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389343"/>
        <c:axId val="1819385023"/>
      </c:lineChart>
      <c:catAx>
        <c:axId val="18193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5023"/>
        <c:crosses val="autoZero"/>
        <c:auto val="1"/>
        <c:lblAlgn val="ctr"/>
        <c:lblOffset val="100"/>
        <c:noMultiLvlLbl val="0"/>
      </c:catAx>
      <c:valAx>
        <c:axId val="18193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Uniform</a:t>
                </a:r>
                <a:r>
                  <a:rPr lang="en-IN" baseline="0"/>
                  <a:t> Distribution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practical6!$C$4</c:f>
              <c:strCache>
                <c:ptCount val="1"/>
                <c:pt idx="0">
                  <c:v>exponential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practical6!$D$4:$G$4</c:f>
              <c:numCache>
                <c:formatCode>General</c:formatCode>
                <c:ptCount val="4"/>
                <c:pt idx="1">
                  <c:v>7.1626199215047521E-4</c:v>
                </c:pt>
                <c:pt idx="2">
                  <c:v>6.3209898951186621E-4</c:v>
                </c:pt>
                <c:pt idx="3">
                  <c:v>5.5782540037107458E-4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8-42EA-B416-6E595DE2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273775"/>
        <c:axId val="1156267055"/>
      </c:lineChart>
      <c:catAx>
        <c:axId val="115627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7055"/>
        <c:crosses val="autoZero"/>
        <c:auto val="1"/>
        <c:lblAlgn val="ctr"/>
        <c:lblOffset val="100"/>
        <c:noMultiLvlLbl val="0"/>
      </c:catAx>
      <c:valAx>
        <c:axId val="11562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practical7!$C$1</c:f>
              <c:strCache>
                <c:ptCount val="1"/>
                <c:pt idx="0">
                  <c:v>Normal Distribution(Column 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practical7!$B$2:$B$11</c:f>
              <c:numCache>
                <c:formatCode>General</c:formatCode>
                <c:ptCount val="10"/>
                <c:pt idx="0">
                  <c:v>24</c:v>
                </c:pt>
                <c:pt idx="1">
                  <c:v>30</c:v>
                </c:pt>
                <c:pt idx="2">
                  <c:v>36</c:v>
                </c:pt>
                <c:pt idx="3">
                  <c:v>42</c:v>
                </c:pt>
                <c:pt idx="4">
                  <c:v>48</c:v>
                </c:pt>
                <c:pt idx="5">
                  <c:v>54</c:v>
                </c:pt>
                <c:pt idx="6">
                  <c:v>60</c:v>
                </c:pt>
                <c:pt idx="7">
                  <c:v>66</c:v>
                </c:pt>
                <c:pt idx="8">
                  <c:v>72</c:v>
                </c:pt>
                <c:pt idx="9">
                  <c:v>78</c:v>
                </c:pt>
              </c:numCache>
            </c:numRef>
          </c:xVal>
          <c:yVal>
            <c:numRef>
              <c:f>practical7!$C$2:$C$11</c:f>
              <c:numCache>
                <c:formatCode>General</c:formatCode>
                <c:ptCount val="10"/>
                <c:pt idx="0">
                  <c:v>6.7847534091964234E-3</c:v>
                </c:pt>
                <c:pt idx="1">
                  <c:v>1.1017957414425345E-2</c:v>
                </c:pt>
                <c:pt idx="2">
                  <c:v>1.5849893762005438E-2</c:v>
                </c:pt>
                <c:pt idx="3">
                  <c:v>2.0198069691463299E-2</c:v>
                </c:pt>
                <c:pt idx="4">
                  <c:v>2.2800880673031865E-2</c:v>
                </c:pt>
                <c:pt idx="5">
                  <c:v>2.2800880673031865E-2</c:v>
                </c:pt>
                <c:pt idx="6">
                  <c:v>2.0198069691463299E-2</c:v>
                </c:pt>
                <c:pt idx="7">
                  <c:v>1.5849893762005438E-2</c:v>
                </c:pt>
                <c:pt idx="8">
                  <c:v>1.1017957414425345E-2</c:v>
                </c:pt>
                <c:pt idx="9">
                  <c:v>6.7847534091964234E-3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4-41E8-AAD2-48EABCAA1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240655"/>
        <c:axId val="1156241135"/>
      </c:scatterChart>
      <c:valAx>
        <c:axId val="115624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1135"/>
        <c:crosses val="autoZero"/>
        <c:crossBetween val="midCat"/>
      </c:valAx>
      <c:valAx>
        <c:axId val="11562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practical8!$B$2</c:f>
              <c:strCache>
                <c:ptCount val="1"/>
                <c:pt idx="0">
                  <c:v>Exponential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practical8!$B$3:$B$13</c:f>
              <c:numCache>
                <c:formatCode>General</c:formatCode>
                <c:ptCount val="11"/>
                <c:pt idx="0">
                  <c:v>0</c:v>
                </c:pt>
                <c:pt idx="1">
                  <c:v>0.32967995396436073</c:v>
                </c:pt>
                <c:pt idx="2">
                  <c:v>0.55067103588277844</c:v>
                </c:pt>
                <c:pt idx="3">
                  <c:v>0.69880578808779803</c:v>
                </c:pt>
                <c:pt idx="4">
                  <c:v>0.79810348200534464</c:v>
                </c:pt>
                <c:pt idx="5">
                  <c:v>0.8646647167633873</c:v>
                </c:pt>
                <c:pt idx="6">
                  <c:v>0.90928204671058754</c:v>
                </c:pt>
                <c:pt idx="7">
                  <c:v>0.93918993737478207</c:v>
                </c:pt>
                <c:pt idx="8">
                  <c:v>0.95923779602163384</c:v>
                </c:pt>
                <c:pt idx="9">
                  <c:v>0.97267627755270747</c:v>
                </c:pt>
                <c:pt idx="10">
                  <c:v>0.98168436111126578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F-47CC-A589-0A64DC06A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3391"/>
        <c:axId val="1823781071"/>
      </c:lineChart>
      <c:catAx>
        <c:axId val="182377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1071"/>
        <c:crosses val="autoZero"/>
        <c:auto val="1"/>
        <c:lblAlgn val="ctr"/>
        <c:lblOffset val="100"/>
        <c:noMultiLvlLbl val="0"/>
      </c:catAx>
      <c:valAx>
        <c:axId val="18237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practical8!$E$2</c:f>
              <c:strCache>
                <c:ptCount val="1"/>
                <c:pt idx="0">
                  <c:v>Normal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practical8!$D$3:$D$12</c:f>
              <c:numCache>
                <c:formatCode>General</c:formatCode>
                <c:ptCount val="10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</c:numCache>
            </c:numRef>
          </c:cat>
          <c:val>
            <c:numRef>
              <c:f>practical8!$E$3:$E$12</c:f>
              <c:numCache>
                <c:formatCode>General</c:formatCode>
                <c:ptCount val="10"/>
                <c:pt idx="0">
                  <c:v>8.8902529910843192E-4</c:v>
                </c:pt>
                <c:pt idx="1">
                  <c:v>1.3498980316300933E-3</c:v>
                </c:pt>
                <c:pt idx="2">
                  <c:v>2.0201374899460013E-3</c:v>
                </c:pt>
                <c:pt idx="3">
                  <c:v>2.9797632350545551E-3</c:v>
                </c:pt>
                <c:pt idx="4">
                  <c:v>4.3324483630125558E-3</c:v>
                </c:pt>
                <c:pt idx="5">
                  <c:v>6.2096653257761331E-3</c:v>
                </c:pt>
                <c:pt idx="6">
                  <c:v>8.7744750957383603E-3</c:v>
                </c:pt>
                <c:pt idx="7">
                  <c:v>1.2224472655044696E-2</c:v>
                </c:pt>
                <c:pt idx="8">
                  <c:v>1.67933064484488E-2</c:v>
                </c:pt>
                <c:pt idx="9">
                  <c:v>2.2750131948179191E-2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7-4922-A372-47D9BC574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5311"/>
        <c:axId val="1823782031"/>
      </c:lineChart>
      <c:catAx>
        <c:axId val="182377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2031"/>
        <c:crosses val="autoZero"/>
        <c:auto val="1"/>
        <c:lblAlgn val="ctr"/>
        <c:lblOffset val="100"/>
        <c:noMultiLvlLbl val="0"/>
      </c:catAx>
      <c:valAx>
        <c:axId val="182378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practical10!$B$3</c:f>
              <c:strCache>
                <c:ptCount val="1"/>
                <c:pt idx="0">
                  <c:v>Binomial Distribution Probability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practical10!$A$4:$A$19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practical10!$B$4:$B$19</c:f>
              <c:numCache>
                <c:formatCode>General</c:formatCode>
                <c:ptCount val="16"/>
                <c:pt idx="0">
                  <c:v>4.3789389038086019E-13</c:v>
                </c:pt>
                <c:pt idx="1">
                  <c:v>3.7220980682373171E-11</c:v>
                </c:pt>
                <c:pt idx="2">
                  <c:v>1.4764322337341338E-9</c:v>
                </c:pt>
                <c:pt idx="3">
                  <c:v>3.6254613739471583E-8</c:v>
                </c:pt>
                <c:pt idx="4">
                  <c:v>6.163284335710163E-7</c:v>
                </c:pt>
                <c:pt idx="5">
                  <c:v>7.6835611385186542E-6</c:v>
                </c:pt>
                <c:pt idx="6">
                  <c:v>7.25669663082319E-5</c:v>
                </c:pt>
                <c:pt idx="7">
                  <c:v>5.2870218310283122E-4</c:v>
                </c:pt>
                <c:pt idx="8">
                  <c:v>2.9959790375827097E-3</c:v>
                </c:pt>
                <c:pt idx="9">
                  <c:v>1.3204500202679359E-2</c:v>
                </c:pt>
                <c:pt idx="10">
                  <c:v>4.4895300689109796E-2</c:v>
                </c:pt>
                <c:pt idx="11">
                  <c:v>0.11563941086588875</c:v>
                </c:pt>
                <c:pt idx="12">
                  <c:v>0.21842999830223433</c:v>
                </c:pt>
                <c:pt idx="13">
                  <c:v>0.28563922854907564</c:v>
                </c:pt>
                <c:pt idx="14">
                  <c:v>0.23123175644448976</c:v>
                </c:pt>
                <c:pt idx="15">
                  <c:v>8.7354219101251684E-2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9-4DC1-8BD7-08C333B29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3798351"/>
        <c:axId val="1823799311"/>
      </c:barChart>
      <c:catAx>
        <c:axId val="182379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99311"/>
        <c:crosses val="autoZero"/>
        <c:auto val="1"/>
        <c:lblAlgn val="ctr"/>
        <c:lblOffset val="100"/>
        <c:noMultiLvlLbl val="0"/>
      </c:catAx>
      <c:valAx>
        <c:axId val="182379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9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49530</xdr:rowOff>
    </xdr:from>
    <xdr:to>
      <xdr:col>10</xdr:col>
      <xdr:colOff>45720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81BBE-35BF-4E35-DECC-A8CE804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11430</xdr:rowOff>
    </xdr:from>
    <xdr:to>
      <xdr:col>10</xdr:col>
      <xdr:colOff>121920</xdr:colOff>
      <xdr:row>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E3B66-A8B7-8C2E-46E3-1E119A51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0</xdr:rowOff>
    </xdr:from>
    <xdr:to>
      <xdr:col>13</xdr:col>
      <xdr:colOff>22860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66A02-8614-8680-0C13-461987854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6</xdr:row>
      <xdr:rowOff>15240</xdr:rowOff>
    </xdr:from>
    <xdr:to>
      <xdr:col>11</xdr:col>
      <xdr:colOff>198120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A82ADB-4F4F-1E2E-B0BE-85CF9BD7A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0</xdr:row>
      <xdr:rowOff>0</xdr:rowOff>
    </xdr:from>
    <xdr:to>
      <xdr:col>11</xdr:col>
      <xdr:colOff>160020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E943B-BD56-EF6A-6AE9-2B67F1728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15</xdr:row>
      <xdr:rowOff>144780</xdr:rowOff>
    </xdr:from>
    <xdr:to>
      <xdr:col>4</xdr:col>
      <xdr:colOff>914400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2AE26-99B8-80C1-538D-B289E816D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952500</xdr:colOff>
      <xdr:row>14</xdr:row>
      <xdr:rowOff>83820</xdr:rowOff>
    </xdr:from>
    <xdr:to>
      <xdr:col>9</xdr:col>
      <xdr:colOff>243840</xdr:colOff>
      <xdr:row>27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F76EA6-F671-F480-2651-235F47269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0</xdr:row>
      <xdr:rowOff>0</xdr:rowOff>
    </xdr:from>
    <xdr:to>
      <xdr:col>9</xdr:col>
      <xdr:colOff>403860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3425D-BBFB-33E1-B182-30445A6C4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:B18"/>
  <sheetViews>
    <sheetView workbookViewId="0">
      <selection activeCell="C3" sqref="C3"/>
    </sheetView>
  </sheetViews>
  <sheetFormatPr defaultRowHeight="14.4" x14ac:dyDescent="0.3"/>
  <cols>
    <col min="1" max="1" width="19.44140625" customWidth="1"/>
    <col min="2" max="2" width="17.33203125" customWidth="1"/>
  </cols>
  <sheetData>
    <row r="1" spans="1:2" x14ac:dyDescent="0.3">
      <c r="A1" t="s">
        <v>28</v>
      </c>
      <c r="B1">
        <v>11</v>
      </c>
    </row>
    <row r="2" spans="1:2" x14ac:dyDescent="0.3">
      <c r="A2" t="s">
        <v>30</v>
      </c>
      <c r="B2" t="s">
        <v>29</v>
      </c>
    </row>
    <row r="3" spans="1:2" x14ac:dyDescent="0.3">
      <c r="A3">
        <v>0</v>
      </c>
      <c r="B3">
        <f>_xlfn.POISSON.DIST(A3, $B$1, FALSE)</f>
        <v>1.6701700790245659E-5</v>
      </c>
    </row>
    <row r="4" spans="1:2" x14ac:dyDescent="0.3">
      <c r="A4">
        <v>1</v>
      </c>
      <c r="B4">
        <f t="shared" ref="B4:B18" si="0">_xlfn.POISSON.DIST(A4, $B$1, FALSE)</f>
        <v>1.8371870869270227E-4</v>
      </c>
    </row>
    <row r="5" spans="1:2" x14ac:dyDescent="0.3">
      <c r="A5">
        <v>2</v>
      </c>
      <c r="B5">
        <f t="shared" si="0"/>
        <v>1.0104528978098631E-3</v>
      </c>
    </row>
    <row r="6" spans="1:2" x14ac:dyDescent="0.3">
      <c r="A6">
        <v>3</v>
      </c>
      <c r="B6">
        <f t="shared" si="0"/>
        <v>3.7049939586361628E-3</v>
      </c>
    </row>
    <row r="7" spans="1:2" x14ac:dyDescent="0.3">
      <c r="A7">
        <v>4</v>
      </c>
      <c r="B7">
        <f t="shared" si="0"/>
        <v>1.0188733386249446E-2</v>
      </c>
    </row>
    <row r="8" spans="1:2" x14ac:dyDescent="0.3">
      <c r="A8">
        <v>5</v>
      </c>
      <c r="B8">
        <f t="shared" si="0"/>
        <v>2.241521344974878E-2</v>
      </c>
    </row>
    <row r="9" spans="1:2" x14ac:dyDescent="0.3">
      <c r="A9">
        <v>6</v>
      </c>
      <c r="B9">
        <f t="shared" si="0"/>
        <v>4.1094557991206107E-2</v>
      </c>
    </row>
    <row r="10" spans="1:2" x14ac:dyDescent="0.3">
      <c r="A10">
        <v>7</v>
      </c>
      <c r="B10">
        <f t="shared" si="0"/>
        <v>6.4577162557609605E-2</v>
      </c>
    </row>
    <row r="11" spans="1:2" x14ac:dyDescent="0.3">
      <c r="A11">
        <v>8</v>
      </c>
      <c r="B11">
        <f t="shared" si="0"/>
        <v>8.8793598516713187E-2</v>
      </c>
    </row>
    <row r="12" spans="1:2" x14ac:dyDescent="0.3">
      <c r="A12">
        <v>9</v>
      </c>
      <c r="B12">
        <f t="shared" si="0"/>
        <v>0.10852550929820498</v>
      </c>
    </row>
    <row r="13" spans="1:2" x14ac:dyDescent="0.3">
      <c r="A13">
        <v>10</v>
      </c>
      <c r="B13">
        <f t="shared" si="0"/>
        <v>0.1193780602280255</v>
      </c>
    </row>
    <row r="14" spans="1:2" x14ac:dyDescent="0.3">
      <c r="A14">
        <v>11</v>
      </c>
      <c r="B14">
        <f t="shared" si="0"/>
        <v>0.1193780602280255</v>
      </c>
    </row>
    <row r="15" spans="1:2" x14ac:dyDescent="0.3">
      <c r="A15">
        <v>12</v>
      </c>
      <c r="B15">
        <f t="shared" si="0"/>
        <v>0.10942988854235672</v>
      </c>
    </row>
    <row r="16" spans="1:2" x14ac:dyDescent="0.3">
      <c r="A16">
        <v>13</v>
      </c>
      <c r="B16">
        <f t="shared" si="0"/>
        <v>9.2594521074301842E-2</v>
      </c>
    </row>
    <row r="17" spans="1:2" x14ac:dyDescent="0.3">
      <c r="A17">
        <v>14</v>
      </c>
      <c r="B17">
        <f t="shared" si="0"/>
        <v>7.2752837986951438E-2</v>
      </c>
    </row>
    <row r="18" spans="1:2" x14ac:dyDescent="0.3">
      <c r="A18">
        <v>15</v>
      </c>
      <c r="B18">
        <f t="shared" si="0"/>
        <v>5.3352081190431062E-2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1EB6-B39C-4353-9771-3A3BDE967A52}">
  <dimension ref="A1:B10"/>
  <sheetViews>
    <sheetView workbookViewId="0">
      <selection activeCell="C3" sqref="C3"/>
    </sheetView>
  </sheetViews>
  <sheetFormatPr defaultRowHeight="14.4" x14ac:dyDescent="0.3"/>
  <cols>
    <col min="1" max="1" width="30.21875" customWidth="1"/>
    <col min="2" max="2" width="18.88671875" customWidth="1"/>
  </cols>
  <sheetData>
    <row r="1" spans="1:2" x14ac:dyDescent="0.3">
      <c r="A1" t="s">
        <v>31</v>
      </c>
      <c r="B1">
        <v>0.3</v>
      </c>
    </row>
    <row r="2" spans="1:2" x14ac:dyDescent="0.3">
      <c r="A2" t="s">
        <v>32</v>
      </c>
      <c r="B2" t="s">
        <v>33</v>
      </c>
    </row>
    <row r="3" spans="1:2" x14ac:dyDescent="0.3">
      <c r="A3">
        <v>0</v>
      </c>
      <c r="B3">
        <f>(1-$B$1)^A3 * $B$1</f>
        <v>0.3</v>
      </c>
    </row>
    <row r="4" spans="1:2" x14ac:dyDescent="0.3">
      <c r="A4">
        <v>1</v>
      </c>
      <c r="B4">
        <f t="shared" ref="B4:B10" si="0">(1-$B$1)^A4 * $B$1</f>
        <v>0.21</v>
      </c>
    </row>
    <row r="5" spans="1:2" x14ac:dyDescent="0.3">
      <c r="A5">
        <v>2</v>
      </c>
      <c r="B5">
        <f t="shared" si="0"/>
        <v>0.14699999999999996</v>
      </c>
    </row>
    <row r="6" spans="1:2" x14ac:dyDescent="0.3">
      <c r="A6">
        <v>3</v>
      </c>
      <c r="B6">
        <f t="shared" si="0"/>
        <v>0.10289999999999998</v>
      </c>
    </row>
    <row r="7" spans="1:2" x14ac:dyDescent="0.3">
      <c r="A7">
        <v>4</v>
      </c>
      <c r="B7">
        <f t="shared" si="0"/>
        <v>7.2029999999999969E-2</v>
      </c>
    </row>
    <row r="8" spans="1:2" x14ac:dyDescent="0.3">
      <c r="A8">
        <v>5</v>
      </c>
      <c r="B8">
        <f t="shared" si="0"/>
        <v>5.042099999999998E-2</v>
      </c>
    </row>
    <row r="9" spans="1:2" x14ac:dyDescent="0.3">
      <c r="A9">
        <v>6</v>
      </c>
      <c r="B9">
        <f t="shared" si="0"/>
        <v>3.5294699999999984E-2</v>
      </c>
    </row>
    <row r="10" spans="1:2" x14ac:dyDescent="0.3">
      <c r="A10">
        <v>7</v>
      </c>
      <c r="B10">
        <f t="shared" si="0"/>
        <v>2.4706289999999985E-2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34FD-BBAD-46F2-B2FC-16ADB5E3C106}">
  <dimension ref="A2:E8"/>
  <sheetViews>
    <sheetView workbookViewId="0">
      <selection activeCell="C8" sqref="C8"/>
    </sheetView>
  </sheetViews>
  <sheetFormatPr defaultRowHeight="14.4" x14ac:dyDescent="0.3"/>
  <cols>
    <col min="1" max="1" width="17.88671875" bestFit="1" customWidth="1"/>
  </cols>
  <sheetData>
    <row r="2" spans="1:5" x14ac:dyDescent="0.3">
      <c r="C2" t="s">
        <v>34</v>
      </c>
      <c r="D2" t="s">
        <v>35</v>
      </c>
      <c r="E2" t="s">
        <v>36</v>
      </c>
    </row>
    <row r="3" spans="1:5" x14ac:dyDescent="0.3">
      <c r="A3" t="s">
        <v>37</v>
      </c>
      <c r="B3">
        <v>10</v>
      </c>
    </row>
    <row r="4" spans="1:5" x14ac:dyDescent="0.3">
      <c r="A4" t="s">
        <v>38</v>
      </c>
      <c r="B4">
        <v>30</v>
      </c>
    </row>
    <row r="5" spans="1:5" x14ac:dyDescent="0.3">
      <c r="A5" t="s">
        <v>39</v>
      </c>
      <c r="C5">
        <v>12</v>
      </c>
      <c r="D5">
        <v>20</v>
      </c>
      <c r="E5">
        <v>27</v>
      </c>
    </row>
    <row r="6" spans="1:5" x14ac:dyDescent="0.3">
      <c r="A6" t="s">
        <v>40</v>
      </c>
      <c r="C6">
        <v>16</v>
      </c>
      <c r="D6">
        <v>25</v>
      </c>
      <c r="E6">
        <v>29</v>
      </c>
    </row>
    <row r="8" spans="1:5" x14ac:dyDescent="0.3">
      <c r="A8" t="s">
        <v>41</v>
      </c>
      <c r="C8">
        <f>(C6 - C5) / ($B$4 - $B$3)</f>
        <v>0.2</v>
      </c>
      <c r="D8">
        <f t="shared" ref="D8:E8" si="0">(D6 - D5) / ($B$4 - $B$3)</f>
        <v>0.25</v>
      </c>
      <c r="E8">
        <f t="shared" si="0"/>
        <v>0.1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A3EF-F073-4F81-BC19-1CECBFD5934D}">
  <dimension ref="A1:G4"/>
  <sheetViews>
    <sheetView topLeftCell="B1" workbookViewId="0">
      <selection activeCell="E4" sqref="E4"/>
    </sheetView>
  </sheetViews>
  <sheetFormatPr defaultRowHeight="14.4" x14ac:dyDescent="0.3"/>
  <cols>
    <col min="2" max="2" width="8.5546875" customWidth="1"/>
    <col min="3" max="3" width="19.6640625" customWidth="1"/>
  </cols>
  <sheetData>
    <row r="1" spans="1:7" x14ac:dyDescent="0.3">
      <c r="E1" t="s">
        <v>34</v>
      </c>
      <c r="F1" t="s">
        <v>35</v>
      </c>
      <c r="G1" t="s">
        <v>36</v>
      </c>
    </row>
    <row r="2" spans="1:7" x14ac:dyDescent="0.3">
      <c r="A2" t="str">
        <f>_xlfn.UNICHAR(956)</f>
        <v>μ</v>
      </c>
      <c r="B2">
        <v>400</v>
      </c>
      <c r="D2" t="s">
        <v>43</v>
      </c>
      <c r="E2">
        <v>500</v>
      </c>
      <c r="F2">
        <v>550</v>
      </c>
      <c r="G2">
        <v>600</v>
      </c>
    </row>
    <row r="3" spans="1:7" x14ac:dyDescent="0.3">
      <c r="A3" t="str">
        <f>_xlfn.UNICHAR(955)</f>
        <v>λ</v>
      </c>
      <c r="B3">
        <v>2.5000000000000001E-3</v>
      </c>
    </row>
    <row r="4" spans="1:7" x14ac:dyDescent="0.3">
      <c r="C4" t="s">
        <v>42</v>
      </c>
      <c r="E4">
        <f>_xlfn.EXPON.DIST(E2,$B$3,FALSE)</f>
        <v>7.1626199215047521E-4</v>
      </c>
      <c r="F4">
        <f t="shared" ref="F4:G4" si="0">_xlfn.EXPON.DIST(F2,$B$3,FALSE)</f>
        <v>6.3209898951186621E-4</v>
      </c>
      <c r="G4">
        <f t="shared" si="0"/>
        <v>5.5782540037107458E-4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DD12-9418-4546-A511-763FBAD1138E}">
  <dimension ref="A1:C11"/>
  <sheetViews>
    <sheetView workbookViewId="0">
      <selection activeCell="C20" sqref="C20"/>
    </sheetView>
  </sheetViews>
  <sheetFormatPr defaultRowHeight="14.4" x14ac:dyDescent="0.3"/>
  <cols>
    <col min="2" max="2" width="18" bestFit="1" customWidth="1"/>
    <col min="3" max="3" width="25.5546875" customWidth="1"/>
  </cols>
  <sheetData>
    <row r="1" spans="1:3" x14ac:dyDescent="0.3">
      <c r="A1" t="s">
        <v>44</v>
      </c>
      <c r="B1" t="s">
        <v>55</v>
      </c>
      <c r="C1" t="s">
        <v>56</v>
      </c>
    </row>
    <row r="2" spans="1:3" x14ac:dyDescent="0.3">
      <c r="A2" t="s">
        <v>45</v>
      </c>
      <c r="B2">
        <v>24</v>
      </c>
      <c r="C2">
        <f>_xlfn.NORM.DIST(B2,AVERAGE($B$2:$B$11),_xlfn.STDEV.P($B$2:$B$11),FALSE)</f>
        <v>6.7847534091964234E-3</v>
      </c>
    </row>
    <row r="3" spans="1:3" x14ac:dyDescent="0.3">
      <c r="A3" t="s">
        <v>46</v>
      </c>
      <c r="B3">
        <v>30</v>
      </c>
      <c r="C3">
        <f t="shared" ref="C3:C11" si="0">_xlfn.NORM.DIST(B3,AVERAGE($B$2:$B$11),_xlfn.STDEV.P($B$2:$B$11),FALSE)</f>
        <v>1.1017957414425345E-2</v>
      </c>
    </row>
    <row r="4" spans="1:3" x14ac:dyDescent="0.3">
      <c r="A4" t="s">
        <v>47</v>
      </c>
      <c r="B4">
        <v>36</v>
      </c>
      <c r="C4">
        <f t="shared" si="0"/>
        <v>1.5849893762005438E-2</v>
      </c>
    </row>
    <row r="5" spans="1:3" x14ac:dyDescent="0.3">
      <c r="A5" t="s">
        <v>48</v>
      </c>
      <c r="B5">
        <v>42</v>
      </c>
      <c r="C5">
        <f t="shared" si="0"/>
        <v>2.0198069691463299E-2</v>
      </c>
    </row>
    <row r="6" spans="1:3" x14ac:dyDescent="0.3">
      <c r="A6" t="s">
        <v>49</v>
      </c>
      <c r="B6">
        <v>48</v>
      </c>
      <c r="C6">
        <f t="shared" si="0"/>
        <v>2.2800880673031865E-2</v>
      </c>
    </row>
    <row r="7" spans="1:3" x14ac:dyDescent="0.3">
      <c r="A7" t="s">
        <v>50</v>
      </c>
      <c r="B7">
        <v>54</v>
      </c>
      <c r="C7">
        <f t="shared" si="0"/>
        <v>2.2800880673031865E-2</v>
      </c>
    </row>
    <row r="8" spans="1:3" x14ac:dyDescent="0.3">
      <c r="A8" t="s">
        <v>51</v>
      </c>
      <c r="B8">
        <v>60</v>
      </c>
      <c r="C8">
        <f t="shared" si="0"/>
        <v>2.0198069691463299E-2</v>
      </c>
    </row>
    <row r="9" spans="1:3" x14ac:dyDescent="0.3">
      <c r="A9" t="s">
        <v>52</v>
      </c>
      <c r="B9">
        <v>66</v>
      </c>
      <c r="C9">
        <f t="shared" si="0"/>
        <v>1.5849893762005438E-2</v>
      </c>
    </row>
    <row r="10" spans="1:3" x14ac:dyDescent="0.3">
      <c r="A10" t="s">
        <v>53</v>
      </c>
      <c r="B10">
        <v>72</v>
      </c>
      <c r="C10">
        <f t="shared" si="0"/>
        <v>1.1017957414425345E-2</v>
      </c>
    </row>
    <row r="11" spans="1:3" x14ac:dyDescent="0.3">
      <c r="A11" t="s">
        <v>54</v>
      </c>
      <c r="B11">
        <v>78</v>
      </c>
      <c r="C11">
        <f t="shared" si="0"/>
        <v>6.7847534091964234E-3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CE6A-0816-4895-8C8B-B1A5A02DEAF3}">
  <dimension ref="A1:G13"/>
  <sheetViews>
    <sheetView topLeftCell="A9" workbookViewId="0">
      <selection activeCell="C15" sqref="C15"/>
    </sheetView>
  </sheetViews>
  <sheetFormatPr defaultRowHeight="14.4" x14ac:dyDescent="0.3"/>
  <cols>
    <col min="2" max="2" width="24.21875" customWidth="1"/>
    <col min="5" max="5" width="23" customWidth="1"/>
    <col min="6" max="6" width="15.5546875" customWidth="1"/>
  </cols>
  <sheetData>
    <row r="1" spans="1:7" x14ac:dyDescent="0.3">
      <c r="A1" t="str">
        <f>_xlfn.UNICHAR(955)</f>
        <v>λ</v>
      </c>
      <c r="B1">
        <v>0.4</v>
      </c>
      <c r="D1" t="s">
        <v>59</v>
      </c>
      <c r="E1">
        <v>65</v>
      </c>
      <c r="F1" t="s">
        <v>61</v>
      </c>
      <c r="G1">
        <v>8</v>
      </c>
    </row>
    <row r="2" spans="1:7" x14ac:dyDescent="0.3">
      <c r="A2" t="s">
        <v>57</v>
      </c>
      <c r="B2" t="s">
        <v>58</v>
      </c>
      <c r="D2" t="s">
        <v>57</v>
      </c>
      <c r="E2" t="s">
        <v>60</v>
      </c>
    </row>
    <row r="3" spans="1:7" x14ac:dyDescent="0.3">
      <c r="A3">
        <v>0</v>
      </c>
      <c r="B3">
        <f>_xlfn.EXPON.DIST(A3,$B$1,TRUE)</f>
        <v>0</v>
      </c>
      <c r="D3">
        <v>40</v>
      </c>
      <c r="E3">
        <f>_xlfn.NORM.DIST(D3,$E$1,$G$1,TRUE)</f>
        <v>8.8902529910843192E-4</v>
      </c>
    </row>
    <row r="4" spans="1:7" x14ac:dyDescent="0.3">
      <c r="A4">
        <v>1</v>
      </c>
      <c r="B4">
        <f t="shared" ref="B4:B13" si="0">_xlfn.EXPON.DIST(A4,$B$1,TRUE)</f>
        <v>0.32967995396436073</v>
      </c>
      <c r="D4">
        <v>41</v>
      </c>
      <c r="E4">
        <f t="shared" ref="E4:E12" si="1">_xlfn.NORM.DIST(D4,$E$1,$G$1,TRUE)</f>
        <v>1.3498980316300933E-3</v>
      </c>
    </row>
    <row r="5" spans="1:7" x14ac:dyDescent="0.3">
      <c r="A5">
        <v>2</v>
      </c>
      <c r="B5">
        <f t="shared" si="0"/>
        <v>0.55067103588277844</v>
      </c>
      <c r="D5">
        <v>42</v>
      </c>
      <c r="E5">
        <f t="shared" si="1"/>
        <v>2.0201374899460013E-3</v>
      </c>
    </row>
    <row r="6" spans="1:7" x14ac:dyDescent="0.3">
      <c r="A6">
        <v>3</v>
      </c>
      <c r="B6">
        <f t="shared" si="0"/>
        <v>0.69880578808779803</v>
      </c>
      <c r="D6">
        <v>43</v>
      </c>
      <c r="E6">
        <f t="shared" si="1"/>
        <v>2.9797632350545551E-3</v>
      </c>
    </row>
    <row r="7" spans="1:7" x14ac:dyDescent="0.3">
      <c r="A7">
        <v>4</v>
      </c>
      <c r="B7">
        <f t="shared" si="0"/>
        <v>0.79810348200534464</v>
      </c>
      <c r="D7">
        <v>44</v>
      </c>
      <c r="E7">
        <f t="shared" si="1"/>
        <v>4.3324483630125558E-3</v>
      </c>
    </row>
    <row r="8" spans="1:7" x14ac:dyDescent="0.3">
      <c r="A8">
        <v>5</v>
      </c>
      <c r="B8">
        <f t="shared" si="0"/>
        <v>0.8646647167633873</v>
      </c>
      <c r="D8">
        <v>45</v>
      </c>
      <c r="E8">
        <f t="shared" si="1"/>
        <v>6.2096653257761331E-3</v>
      </c>
    </row>
    <row r="9" spans="1:7" x14ac:dyDescent="0.3">
      <c r="A9">
        <v>6</v>
      </c>
      <c r="B9">
        <f t="shared" si="0"/>
        <v>0.90928204671058754</v>
      </c>
      <c r="D9">
        <v>46</v>
      </c>
      <c r="E9">
        <f t="shared" si="1"/>
        <v>8.7744750957383603E-3</v>
      </c>
    </row>
    <row r="10" spans="1:7" x14ac:dyDescent="0.3">
      <c r="A10">
        <v>7</v>
      </c>
      <c r="B10">
        <f t="shared" si="0"/>
        <v>0.93918993737478207</v>
      </c>
      <c r="D10">
        <v>47</v>
      </c>
      <c r="E10">
        <f t="shared" si="1"/>
        <v>1.2224472655044696E-2</v>
      </c>
    </row>
    <row r="11" spans="1:7" x14ac:dyDescent="0.3">
      <c r="A11">
        <v>8</v>
      </c>
      <c r="B11">
        <f t="shared" si="0"/>
        <v>0.95923779602163384</v>
      </c>
      <c r="D11">
        <v>48</v>
      </c>
      <c r="E11">
        <f t="shared" si="1"/>
        <v>1.67933064484488E-2</v>
      </c>
    </row>
    <row r="12" spans="1:7" x14ac:dyDescent="0.3">
      <c r="A12">
        <v>9</v>
      </c>
      <c r="B12">
        <f t="shared" si="0"/>
        <v>0.97267627755270747</v>
      </c>
      <c r="D12">
        <v>49</v>
      </c>
      <c r="E12">
        <f t="shared" si="1"/>
        <v>2.2750131948179191E-2</v>
      </c>
    </row>
    <row r="13" spans="1:7" x14ac:dyDescent="0.3">
      <c r="A13">
        <v>10</v>
      </c>
      <c r="B13">
        <f t="shared" si="0"/>
        <v>0.98168436111126578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79E4-0E75-46DA-A8D9-44751704CE78}">
  <dimension ref="A1:H9"/>
  <sheetViews>
    <sheetView workbookViewId="0">
      <selection activeCell="B15" sqref="B15"/>
    </sheetView>
  </sheetViews>
  <sheetFormatPr defaultRowHeight="14.4" x14ac:dyDescent="0.3"/>
  <cols>
    <col min="2" max="2" width="18.21875" bestFit="1" customWidth="1"/>
    <col min="3" max="3" width="18.88671875" customWidth="1"/>
  </cols>
  <sheetData>
    <row r="1" spans="1:8" x14ac:dyDescent="0.3">
      <c r="A1" t="s">
        <v>62</v>
      </c>
      <c r="B1" t="s">
        <v>3</v>
      </c>
      <c r="C1" t="s">
        <v>29</v>
      </c>
      <c r="E1" t="s">
        <v>63</v>
      </c>
    </row>
    <row r="2" spans="1:8" x14ac:dyDescent="0.3">
      <c r="A2">
        <v>1</v>
      </c>
      <c r="B2">
        <f>_xlfn.BINOM.DIST(A2,$H$3,$H$4,FALSE)</f>
        <v>8.957952000000001E-2</v>
      </c>
      <c r="C2">
        <f>_xlfn.POISSON.DIST(A2,$H$5,FALSE)</f>
        <v>0.26812801841425571</v>
      </c>
      <c r="E2">
        <f>ABS(B2-C2)</f>
        <v>0.17854849841425569</v>
      </c>
    </row>
    <row r="3" spans="1:8" x14ac:dyDescent="0.3">
      <c r="A3">
        <v>2</v>
      </c>
      <c r="B3">
        <f t="shared" ref="B3:B9" si="0">_xlfn.BINOM.DIST(A3,$H$3,$H$4,FALSE)</f>
        <v>0.20901887999999993</v>
      </c>
      <c r="C3">
        <f t="shared" ref="C3:C9" si="1">_xlfn.POISSON.DIST(A3,$H$5,FALSE)</f>
        <v>5.3625603682851138E-2</v>
      </c>
      <c r="E3">
        <f t="shared" ref="E3:E9" si="2">ABS(B3-C3)</f>
        <v>0.1553932763171488</v>
      </c>
      <c r="G3" t="s">
        <v>64</v>
      </c>
      <c r="H3">
        <v>8</v>
      </c>
    </row>
    <row r="4" spans="1:8" x14ac:dyDescent="0.3">
      <c r="A4">
        <v>3</v>
      </c>
      <c r="B4">
        <f t="shared" si="0"/>
        <v>0.27869184000000002</v>
      </c>
      <c r="C4">
        <f t="shared" si="1"/>
        <v>7.1500804910468209E-3</v>
      </c>
      <c r="E4">
        <f t="shared" si="2"/>
        <v>0.27154175950895321</v>
      </c>
      <c r="G4" t="s">
        <v>65</v>
      </c>
      <c r="H4">
        <v>0.4</v>
      </c>
    </row>
    <row r="5" spans="1:8" x14ac:dyDescent="0.3">
      <c r="A5">
        <v>4</v>
      </c>
      <c r="B5">
        <f t="shared" si="0"/>
        <v>0.23224320000000001</v>
      </c>
      <c r="C5">
        <f t="shared" si="1"/>
        <v>7.1500804910468196E-4</v>
      </c>
      <c r="E5">
        <f t="shared" si="2"/>
        <v>0.23152819195089533</v>
      </c>
      <c r="G5" t="str">
        <f>_xlfn.UNICHAR(955)</f>
        <v>λ</v>
      </c>
      <c r="H5">
        <v>0.4</v>
      </c>
    </row>
    <row r="6" spans="1:8" x14ac:dyDescent="0.3">
      <c r="A6">
        <v>5</v>
      </c>
      <c r="B6">
        <f t="shared" si="0"/>
        <v>0.12386303999999998</v>
      </c>
      <c r="C6">
        <f t="shared" si="1"/>
        <v>5.7200643928374612E-5</v>
      </c>
      <c r="E6">
        <f t="shared" si="2"/>
        <v>0.1238058393560716</v>
      </c>
    </row>
    <row r="7" spans="1:8" x14ac:dyDescent="0.3">
      <c r="A7">
        <v>6</v>
      </c>
      <c r="B7">
        <f t="shared" si="0"/>
        <v>4.1287680000000021E-2</v>
      </c>
      <c r="C7">
        <f t="shared" si="1"/>
        <v>3.8133762618916389E-6</v>
      </c>
      <c r="E7">
        <f t="shared" si="2"/>
        <v>4.1283866623738126E-2</v>
      </c>
    </row>
    <row r="8" spans="1:8" x14ac:dyDescent="0.3">
      <c r="A8">
        <v>7</v>
      </c>
      <c r="B8">
        <f t="shared" si="0"/>
        <v>7.8643199999999958E-3</v>
      </c>
      <c r="C8">
        <f t="shared" si="1"/>
        <v>2.1790721496523687E-7</v>
      </c>
      <c r="E8">
        <f t="shared" si="2"/>
        <v>7.8641020927850309E-3</v>
      </c>
    </row>
    <row r="9" spans="1:8" x14ac:dyDescent="0.3">
      <c r="A9">
        <v>8</v>
      </c>
      <c r="B9">
        <f t="shared" si="0"/>
        <v>6.5536000000000034E-4</v>
      </c>
      <c r="C9">
        <f t="shared" si="1"/>
        <v>1.08953607482618E-8</v>
      </c>
      <c r="E9">
        <f t="shared" si="2"/>
        <v>6.5534910463925207E-4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1C26-E90E-4C63-8EB0-6F4F160C6648}">
  <dimension ref="A1:B19"/>
  <sheetViews>
    <sheetView tabSelected="1" workbookViewId="0">
      <selection activeCell="A3" sqref="A3:B19"/>
    </sheetView>
  </sheetViews>
  <sheetFormatPr defaultRowHeight="14.4" x14ac:dyDescent="0.3"/>
  <cols>
    <col min="1" max="1" width="18.5546875" customWidth="1"/>
    <col min="2" max="2" width="27.44140625" customWidth="1"/>
  </cols>
  <sheetData>
    <row r="1" spans="1:2" x14ac:dyDescent="0.3">
      <c r="A1" t="s">
        <v>64</v>
      </c>
      <c r="B1">
        <v>15</v>
      </c>
    </row>
    <row r="2" spans="1:2" x14ac:dyDescent="0.3">
      <c r="A2" t="s">
        <v>65</v>
      </c>
      <c r="B2">
        <v>0.85</v>
      </c>
    </row>
    <row r="3" spans="1:2" x14ac:dyDescent="0.3">
      <c r="A3" t="s">
        <v>66</v>
      </c>
      <c r="B3" t="s">
        <v>67</v>
      </c>
    </row>
    <row r="4" spans="1:2" x14ac:dyDescent="0.3">
      <c r="A4">
        <v>0</v>
      </c>
      <c r="B4">
        <f>_xlfn.BINOM.DIST(A4,B$1,B$2,FALSE)</f>
        <v>4.3789389038086019E-13</v>
      </c>
    </row>
    <row r="5" spans="1:2" x14ac:dyDescent="0.3">
      <c r="A5">
        <v>1</v>
      </c>
      <c r="B5">
        <f t="shared" ref="B5:B19" si="0">_xlfn.BINOM.DIST(A5,B$1,B$2,FALSE)</f>
        <v>3.7220980682373171E-11</v>
      </c>
    </row>
    <row r="6" spans="1:2" x14ac:dyDescent="0.3">
      <c r="A6">
        <v>2</v>
      </c>
      <c r="B6">
        <f t="shared" si="0"/>
        <v>1.4764322337341338E-9</v>
      </c>
    </row>
    <row r="7" spans="1:2" x14ac:dyDescent="0.3">
      <c r="A7">
        <v>3</v>
      </c>
      <c r="B7">
        <f t="shared" si="0"/>
        <v>3.6254613739471583E-8</v>
      </c>
    </row>
    <row r="8" spans="1:2" x14ac:dyDescent="0.3">
      <c r="A8">
        <v>4</v>
      </c>
      <c r="B8">
        <f t="shared" si="0"/>
        <v>6.163284335710163E-7</v>
      </c>
    </row>
    <row r="9" spans="1:2" x14ac:dyDescent="0.3">
      <c r="A9">
        <v>5</v>
      </c>
      <c r="B9">
        <f t="shared" si="0"/>
        <v>7.6835611385186542E-6</v>
      </c>
    </row>
    <row r="10" spans="1:2" x14ac:dyDescent="0.3">
      <c r="A10">
        <v>6</v>
      </c>
      <c r="B10">
        <f t="shared" si="0"/>
        <v>7.25669663082319E-5</v>
      </c>
    </row>
    <row r="11" spans="1:2" x14ac:dyDescent="0.3">
      <c r="A11">
        <v>7</v>
      </c>
      <c r="B11">
        <f t="shared" si="0"/>
        <v>5.2870218310283122E-4</v>
      </c>
    </row>
    <row r="12" spans="1:2" x14ac:dyDescent="0.3">
      <c r="A12">
        <v>8</v>
      </c>
      <c r="B12">
        <f t="shared" si="0"/>
        <v>2.9959790375827097E-3</v>
      </c>
    </row>
    <row r="13" spans="1:2" x14ac:dyDescent="0.3">
      <c r="A13">
        <v>9</v>
      </c>
      <c r="B13">
        <f t="shared" si="0"/>
        <v>1.3204500202679359E-2</v>
      </c>
    </row>
    <row r="14" spans="1:2" x14ac:dyDescent="0.3">
      <c r="A14">
        <v>10</v>
      </c>
      <c r="B14">
        <f t="shared" si="0"/>
        <v>4.4895300689109796E-2</v>
      </c>
    </row>
    <row r="15" spans="1:2" x14ac:dyDescent="0.3">
      <c r="A15">
        <v>11</v>
      </c>
      <c r="B15">
        <f t="shared" si="0"/>
        <v>0.11563941086588875</v>
      </c>
    </row>
    <row r="16" spans="1:2" x14ac:dyDescent="0.3">
      <c r="A16">
        <v>12</v>
      </c>
      <c r="B16">
        <f t="shared" si="0"/>
        <v>0.21842999830223433</v>
      </c>
    </row>
    <row r="17" spans="1:2" x14ac:dyDescent="0.3">
      <c r="A17">
        <v>13</v>
      </c>
      <c r="B17">
        <f t="shared" si="0"/>
        <v>0.28563922854907564</v>
      </c>
    </row>
    <row r="18" spans="1:2" x14ac:dyDescent="0.3">
      <c r="A18">
        <v>14</v>
      </c>
      <c r="B18">
        <f t="shared" si="0"/>
        <v>0.23123175644448976</v>
      </c>
    </row>
    <row r="19" spans="1:2" x14ac:dyDescent="0.3">
      <c r="A19">
        <v>15</v>
      </c>
      <c r="B19">
        <f t="shared" si="0"/>
        <v>8.7354219101251684E-2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practical 1</vt:lpstr>
      <vt:lpstr>practical2</vt:lpstr>
      <vt:lpstr>practical3</vt:lpstr>
      <vt:lpstr>practical4</vt:lpstr>
      <vt:lpstr>Practical5</vt:lpstr>
      <vt:lpstr>practical6</vt:lpstr>
      <vt:lpstr>practical7</vt:lpstr>
      <vt:lpstr>practical8</vt:lpstr>
      <vt:lpstr>practical9</vt:lpstr>
      <vt:lpstr>practical10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2026-04-30T01:49:29Z</dcterms:modified>
</cp:coreProperties>
</file>