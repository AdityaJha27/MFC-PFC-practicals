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KUMAR JHA\Downloads\"/>
    </mc:Choice>
  </mc:AlternateContent>
  <xr:revisionPtr revIDLastSave="0" documentId="8_{61B96ADF-7667-470C-A915-633320738124}" xr6:coauthVersionLast="47" xr6:coauthVersionMax="47" xr10:uidLastSave="{00000000-0000-0000-0000-000000000000}"/>
  <bookViews>
    <workbookView xWindow="11424" yWindow="0" windowWidth="11712" windowHeight="12336" firstSheet="10" activeTab="12" xr2:uid="{1A9DF0CF-0925-489F-8D54-9128CA439866}"/>
  </bookViews>
  <sheets>
    <sheet name="practical 1" sheetId="1" r:id="rId1"/>
    <sheet name="practical2" sheetId="2" r:id="rId2"/>
    <sheet name="practical3" sheetId="3" r:id="rId3"/>
    <sheet name="practical4" sheetId="4" r:id="rId4"/>
    <sheet name="Practical5" sheetId="5" r:id="rId5"/>
    <sheet name="practical6" sheetId="6" r:id="rId6"/>
    <sheet name="practical7" sheetId="7" r:id="rId7"/>
    <sheet name="practical8" sheetId="8" r:id="rId8"/>
    <sheet name="practical9" sheetId="9" r:id="rId9"/>
    <sheet name="practical10" sheetId="10" r:id="rId10"/>
    <sheet name="practical11" sheetId="11" r:id="rId11"/>
    <sheet name="practical12" sheetId="12" r:id="rId12"/>
    <sheet name="practical13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3" l="1"/>
  <c r="C28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4" i="12"/>
  <c r="A2" i="12"/>
  <c r="A1" i="12"/>
  <c r="B4" i="11"/>
  <c r="B5" i="11"/>
  <c r="B6" i="11"/>
  <c r="B7" i="11"/>
  <c r="B8" i="11"/>
  <c r="B9" i="11"/>
  <c r="B3" i="11"/>
  <c r="A1" i="11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4" i="10"/>
  <c r="E3" i="9"/>
  <c r="E4" i="9"/>
  <c r="E5" i="9"/>
  <c r="E6" i="9"/>
  <c r="E7" i="9"/>
  <c r="E8" i="9"/>
  <c r="E9" i="9"/>
  <c r="E2" i="9"/>
  <c r="C3" i="9"/>
  <c r="C4" i="9"/>
  <c r="C5" i="9"/>
  <c r="C6" i="9"/>
  <c r="C7" i="9"/>
  <c r="C8" i="9"/>
  <c r="C9" i="9"/>
  <c r="C2" i="9"/>
  <c r="B3" i="9"/>
  <c r="B4" i="9"/>
  <c r="B5" i="9"/>
  <c r="B6" i="9"/>
  <c r="B7" i="9"/>
  <c r="B8" i="9"/>
  <c r="B9" i="9"/>
  <c r="B2" i="9"/>
  <c r="G5" i="9"/>
  <c r="E4" i="8"/>
  <c r="E5" i="8"/>
  <c r="E6" i="8"/>
  <c r="E7" i="8"/>
  <c r="E8" i="8"/>
  <c r="E9" i="8"/>
  <c r="E10" i="8"/>
  <c r="E11" i="8"/>
  <c r="E12" i="8"/>
  <c r="E3" i="8"/>
  <c r="B4" i="8"/>
  <c r="B5" i="8"/>
  <c r="B6" i="8"/>
  <c r="B7" i="8"/>
  <c r="B8" i="8"/>
  <c r="B9" i="8"/>
  <c r="B10" i="8"/>
  <c r="B11" i="8"/>
  <c r="B12" i="8"/>
  <c r="B13" i="8"/>
  <c r="B3" i="8"/>
  <c r="A1" i="8"/>
  <c r="C3" i="7"/>
  <c r="C4" i="7"/>
  <c r="C5" i="7"/>
  <c r="C6" i="7"/>
  <c r="C7" i="7"/>
  <c r="C8" i="7"/>
  <c r="C9" i="7"/>
  <c r="C10" i="7"/>
  <c r="C11" i="7"/>
  <c r="C2" i="7"/>
  <c r="F4" i="6"/>
  <c r="G4" i="6"/>
  <c r="E4" i="6"/>
  <c r="A2" i="6"/>
  <c r="A3" i="6"/>
  <c r="D8" i="5"/>
  <c r="E8" i="5"/>
  <c r="C8" i="5"/>
  <c r="B4" i="4"/>
  <c r="B5" i="4"/>
  <c r="B6" i="4"/>
  <c r="B7" i="4"/>
  <c r="B8" i="4"/>
  <c r="B9" i="4"/>
  <c r="B10" i="4"/>
  <c r="B3" i="4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3" i="3"/>
  <c r="C11" i="2"/>
  <c r="C15" i="2"/>
  <c r="D15" i="2"/>
  <c r="E15" i="2"/>
  <c r="D13" i="2"/>
  <c r="E13" i="2"/>
  <c r="C13" i="2"/>
  <c r="D12" i="2"/>
  <c r="E12" i="2"/>
  <c r="C12" i="2"/>
  <c r="D11" i="2"/>
  <c r="E11" i="2"/>
  <c r="B6" i="1"/>
  <c r="B7" i="1"/>
  <c r="B8" i="1"/>
  <c r="B9" i="1"/>
  <c r="B10" i="1"/>
  <c r="B11" i="1"/>
  <c r="B12" i="1"/>
  <c r="B13" i="1"/>
  <c r="B14" i="1"/>
  <c r="B15" i="1"/>
  <c r="B16" i="1"/>
  <c r="B17" i="1"/>
  <c r="B5" i="1"/>
</calcChain>
</file>

<file path=xl/sharedStrings.xml><?xml version="1.0" encoding="utf-8"?>
<sst xmlns="http://schemas.openxmlformats.org/spreadsheetml/2006/main" count="118" uniqueCount="110">
  <si>
    <t>n(no of trials</t>
  </si>
  <si>
    <t>p(probability of success onn given trials)</t>
  </si>
  <si>
    <t xml:space="preserve">           k(no of success)</t>
  </si>
  <si>
    <t>Binomial Distribution</t>
  </si>
  <si>
    <t>Category</t>
  </si>
  <si>
    <t>Label</t>
  </si>
  <si>
    <t>1st Case</t>
  </si>
  <si>
    <t>2nd Case</t>
  </si>
  <si>
    <t>3rd Case</t>
  </si>
  <si>
    <t>Red</t>
  </si>
  <si>
    <t>Green</t>
  </si>
  <si>
    <t>Blue</t>
  </si>
  <si>
    <t>P_Red</t>
  </si>
  <si>
    <t>P_Green</t>
  </si>
  <si>
    <t>P_Blue</t>
  </si>
  <si>
    <t>X1</t>
  </si>
  <si>
    <t>X2</t>
  </si>
  <si>
    <t>X3</t>
  </si>
  <si>
    <t>P1</t>
  </si>
  <si>
    <t>P2</t>
  </si>
  <si>
    <t>P3</t>
  </si>
  <si>
    <t xml:space="preserve">Mutinomial </t>
  </si>
  <si>
    <t>P1^X1</t>
  </si>
  <si>
    <t>P2^X2</t>
  </si>
  <si>
    <t>P3^X3</t>
  </si>
  <si>
    <t>Probability</t>
  </si>
  <si>
    <t>Multinomial</t>
  </si>
  <si>
    <t>Distribution Probability</t>
  </si>
  <si>
    <t>λ(Mean no of success</t>
  </si>
  <si>
    <t>Poisson Distribution</t>
  </si>
  <si>
    <t>K(No of success)</t>
  </si>
  <si>
    <t>prob. Of success of on given trial(p)</t>
  </si>
  <si>
    <t>No. of failures before first success</t>
  </si>
  <si>
    <t xml:space="preserve">Geometric Distribution </t>
  </si>
  <si>
    <t>case1</t>
  </si>
  <si>
    <t>case2</t>
  </si>
  <si>
    <t>case3</t>
  </si>
  <si>
    <t>a</t>
  </si>
  <si>
    <t>b</t>
  </si>
  <si>
    <t>x_1</t>
  </si>
  <si>
    <t>x_2</t>
  </si>
  <si>
    <t>Uniform Distribution</t>
  </si>
  <si>
    <t>exponential distribution</t>
  </si>
  <si>
    <t>x</t>
  </si>
  <si>
    <t>Node</t>
  </si>
  <si>
    <t>Node1</t>
  </si>
  <si>
    <t>Node2</t>
  </si>
  <si>
    <t>Node3</t>
  </si>
  <si>
    <t>Node4</t>
  </si>
  <si>
    <t>Node5</t>
  </si>
  <si>
    <t>Node6</t>
  </si>
  <si>
    <t>Node7</t>
  </si>
  <si>
    <t>Node8</t>
  </si>
  <si>
    <t>Node9</t>
  </si>
  <si>
    <t>Node10</t>
  </si>
  <si>
    <t>Battery Life(Column)</t>
  </si>
  <si>
    <t>Normal Distribution(Column C)</t>
  </si>
  <si>
    <t>X</t>
  </si>
  <si>
    <t>Exponential Distribution CDF</t>
  </si>
  <si>
    <t>Mean</t>
  </si>
  <si>
    <t>Normal Distribution CDF</t>
  </si>
  <si>
    <t>Std. Deviation</t>
  </si>
  <si>
    <t>Trial</t>
  </si>
  <si>
    <t>Distance</t>
  </si>
  <si>
    <t>n</t>
  </si>
  <si>
    <t>p</t>
  </si>
  <si>
    <t>k(No. of Successes)</t>
  </si>
  <si>
    <t>Binomial Distribution Probability</t>
  </si>
  <si>
    <t>k(Comments)</t>
  </si>
  <si>
    <t>Poisson Distribution Probability</t>
  </si>
  <si>
    <t>Processor ID</t>
  </si>
  <si>
    <t>Clock Speed(X)</t>
  </si>
  <si>
    <t>Normal Distribution(PDF)</t>
  </si>
  <si>
    <t>Chip1</t>
  </si>
  <si>
    <t>Chip2</t>
  </si>
  <si>
    <t>Chip3</t>
  </si>
  <si>
    <t>Chip4</t>
  </si>
  <si>
    <t>Chip5</t>
  </si>
  <si>
    <t>Chip6</t>
  </si>
  <si>
    <t>Chip7</t>
  </si>
  <si>
    <t>Chip8</t>
  </si>
  <si>
    <t>Chip9</t>
  </si>
  <si>
    <t>Chip10</t>
  </si>
  <si>
    <t>Chip11</t>
  </si>
  <si>
    <t>Chip12</t>
  </si>
  <si>
    <t>Chip13</t>
  </si>
  <si>
    <t>Chip14</t>
  </si>
  <si>
    <t>Chip15</t>
  </si>
  <si>
    <t>Chip16</t>
  </si>
  <si>
    <t>Chip17</t>
  </si>
  <si>
    <t>Chip18</t>
  </si>
  <si>
    <t>Chip19</t>
  </si>
  <si>
    <t>Chip20</t>
  </si>
  <si>
    <t>Chip21</t>
  </si>
  <si>
    <t>Chip22</t>
  </si>
  <si>
    <t>Chip23</t>
  </si>
  <si>
    <t>Chip24</t>
  </si>
  <si>
    <t>Chip25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</si>
  <si>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</si>
  <si>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</si>
  <si>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</si>
  <si>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</si>
  <si>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</si>
  <si>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</si>
  <si>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</si>
  <si>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</si>
  <si>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</si>
  <si>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Ad Spend(X)</t>
  </si>
  <si>
    <t>New Users(Y)</t>
  </si>
  <si>
    <t>Covariance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</si>
</sst>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'practical 1'!$B$4</c:f>
              <c:strCache>
                <c:ptCount val="1"/>
                <c:pt idx="0">
                  <c:v>Binomial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'practical 1'!$A$5:$A$17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'practical 1'!$B$5:$B$17</c:f>
              <c:numCache>
                <c:formatCode>General</c:formatCode>
                <c:ptCount val="13"/>
                <c:pt idx="0">
                  <c:v>4.0959999999999933E-9</c:v>
                </c:pt>
                <c:pt idx="1">
                  <c:v>1.9660799999999993E-7</c:v>
                </c:pt>
                <c:pt idx="2">
                  <c:v>4.3253759999999791E-6</c:v>
                </c:pt>
                <c:pt idx="3">
                  <c:v>5.7671679999999842E-5</c:v>
                </c:pt>
                <c:pt idx="4">
                  <c:v>5.1904511999999951E-4</c:v>
                </c:pt>
                <c:pt idx="5">
                  <c:v>3.3218887679999937E-3</c:v>
                </c:pt>
                <c:pt idx="6">
                  <c:v>1.550214758399999E-2</c:v>
                </c:pt>
                <c:pt idx="7">
                  <c:v>5.3150220287999962E-2</c:v>
                </c:pt>
                <c:pt idx="8">
                  <c:v>0.13287555071999999</c:v>
                </c:pt>
                <c:pt idx="9">
                  <c:v>0.23622320127999991</c:v>
                </c:pt>
                <c:pt idx="10">
                  <c:v>0.28346784153600002</c:v>
                </c:pt>
                <c:pt idx="11">
                  <c:v>0.20615843020800007</c:v>
                </c:pt>
                <c:pt idx="12">
                  <c:v>6.871947673600004E-2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8-4BA5-A5B7-F87FD3682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261295"/>
        <c:axId val="1156270415"/>
      </c:barChart>
      <c:catAx>
        <c:axId val="115626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0415"/>
        <c:crosses val="autoZero"/>
        <c:auto val="1"/>
        <c:lblAlgn val="ctr"/>
        <c:lblOffset val="100"/>
        <c:noMultiLvlLbl val="0"/>
      </c:catAx>
      <c:valAx>
        <c:axId val="11562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practical2!$C$17</c:f>
              <c:strCache>
                <c:ptCount val="1"/>
                <c:pt idx="0">
                  <c:v>Multinomial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practical2!$C$18:$C$20</c:f>
              <c:numCache>
                <c:formatCode>General</c:formatCode>
                <c:ptCount val="3"/>
                <c:pt idx="0">
                  <c:v>2520</c:v>
                </c:pt>
                <c:pt idx="1">
                  <c:v>280</c:v>
                </c:pt>
                <c:pt idx="2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4-4F51-9E35-7A8256266070}"/>
            </c:ext>
          </c:extLst>
        </c:ser>
        <c:ser>
          <c:idx val="1"/>
          <c:order val="1"/>
          <c:tx>
            <c:strRef>
              <c:f>practical2!$D$17</c:f>
              <c:strCache>
                <c:ptCount val="1"/>
                <c:pt idx="0">
                  <c:v>Distribution Probability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practical2!$D$18:$D$20</c:f>
              <c:numCache>
                <c:formatCode>General</c:formatCode>
                <c:ptCount val="3"/>
                <c:pt idx="0">
                  <c:v>6.6060287999999995E-2</c:v>
                </c:pt>
                <c:pt idx="1">
                  <c:v>9.1750399999999996E-2</c:v>
                </c:pt>
                <c:pt idx="2">
                  <c:v>8.6015999999999995E-2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4-4F51-9E35-7A8256266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807471"/>
        <c:axId val="182380795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practical2!$E$17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practical2!$E$18:$E$20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1A4-4F51-9E35-7A8256266070}"/>
                  </c:ext>
                </c:extLst>
              </c15:ser>
            </c15:filteredLineSeries>
          </c:ext>
        </c:extLst>
      </c:lineChart>
      <c:catAx>
        <c:axId val="18238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951"/>
        <c:crosses val="autoZero"/>
        <c:auto val="1"/>
        <c:lblAlgn val="ctr"/>
        <c:lblOffset val="100"/>
        <c:noMultiLvlLbl val="0"/>
      </c:catAx>
      <c:valAx>
        <c:axId val="1823807951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730096237970235E-2"/>
          <c:y val="0.19486111111111112"/>
          <c:w val="0.8838912948381452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practical3!$B$2</c:f>
              <c:strCache>
                <c:ptCount val="1"/>
                <c:pt idx="0">
                  <c:v>Poisson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practical3!$A$3:$A$18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practical3!$B$3:$B$18</c:f>
              <c:numCache>
                <c:formatCode>General</c:formatCode>
                <c:ptCount val="16"/>
                <c:pt idx="0">
                  <c:v>1.6701700790245659E-5</c:v>
                </c:pt>
                <c:pt idx="1">
                  <c:v>1.8371870869270227E-4</c:v>
                </c:pt>
                <c:pt idx="2">
                  <c:v>1.0104528978098631E-3</c:v>
                </c:pt>
                <c:pt idx="3">
                  <c:v>3.7049939586361628E-3</c:v>
                </c:pt>
                <c:pt idx="4">
                  <c:v>1.0188733386249446E-2</c:v>
                </c:pt>
                <c:pt idx="5">
                  <c:v>2.241521344974878E-2</c:v>
                </c:pt>
                <c:pt idx="6">
                  <c:v>4.1094557991206107E-2</c:v>
                </c:pt>
                <c:pt idx="7">
                  <c:v>6.4577162557609605E-2</c:v>
                </c:pt>
                <c:pt idx="8">
                  <c:v>8.8793598516713187E-2</c:v>
                </c:pt>
                <c:pt idx="9">
                  <c:v>0.10852550929820498</c:v>
                </c:pt>
                <c:pt idx="10">
                  <c:v>0.1193780602280255</c:v>
                </c:pt>
                <c:pt idx="11">
                  <c:v>0.1193780602280255</c:v>
                </c:pt>
                <c:pt idx="12">
                  <c:v>0.10942988854235672</c:v>
                </c:pt>
                <c:pt idx="13">
                  <c:v>9.2594521074301842E-2</c:v>
                </c:pt>
                <c:pt idx="14">
                  <c:v>7.2752837986951438E-2</c:v>
                </c:pt>
                <c:pt idx="15">
                  <c:v>5.3352081190431062E-2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D-4F2B-ACEB-35621A729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90783"/>
        <c:axId val="1819388383"/>
      </c:barChart>
      <c:catAx>
        <c:axId val="181939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8383"/>
        <c:crosses val="autoZero"/>
        <c:auto val="1"/>
        <c:lblAlgn val="ctr"/>
        <c:lblOffset val="100"/>
        <c:noMultiLvlLbl val="0"/>
      </c:catAx>
      <c:valAx>
        <c:axId val="181938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practical4!$B$2</c:f>
              <c:strCache>
                <c:ptCount val="1"/>
                <c:pt idx="0">
                  <c:v>Geometric Distribution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practical4!$A$3:$A$10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practical4!$B$3:$B$10</c:f>
              <c:numCache>
                <c:formatCode>General</c:formatCode>
                <c:ptCount val="8"/>
                <c:pt idx="0">
                  <c:v>0.3</c:v>
                </c:pt>
                <c:pt idx="1">
                  <c:v>0.21</c:v>
                </c:pt>
                <c:pt idx="2">
                  <c:v>0.14699999999999996</c:v>
                </c:pt>
                <c:pt idx="3">
                  <c:v>0.10289999999999998</c:v>
                </c:pt>
                <c:pt idx="4">
                  <c:v>7.2029999999999969E-2</c:v>
                </c:pt>
                <c:pt idx="5">
                  <c:v>5.042099999999998E-2</c:v>
                </c:pt>
                <c:pt idx="6">
                  <c:v>3.5294699999999984E-2</c:v>
                </c:pt>
                <c:pt idx="7">
                  <c:v>2.4706289999999985E-2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E-4E5B-884B-005182317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84063"/>
        <c:axId val="1819392703"/>
      </c:barChart>
      <c:catAx>
        <c:axId val="181938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2703"/>
        <c:crosses val="autoZero"/>
        <c:auto val="1"/>
        <c:lblAlgn val="ctr"/>
        <c:lblOffset val="100"/>
        <c:noMultiLvlLbl val="0"/>
      </c:catAx>
      <c:valAx>
        <c:axId val="18193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Practical5!$A$8</c:f>
              <c:strCache>
                <c:ptCount val="1"/>
                <c:pt idx="0">
                  <c:v>Uniform Distribution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Practical5!$B$8:$E$8</c:f>
              <c:numCache>
                <c:formatCode>General</c:formatCode>
                <c:ptCount val="4"/>
                <c:pt idx="1">
                  <c:v>0.2</c:v>
                </c:pt>
                <c:pt idx="2">
                  <c:v>0.25</c:v>
                </c:pt>
                <c:pt idx="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4-43EF-9C46-B235B7A88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9389343"/>
        <c:axId val="1819385023"/>
      </c:lineChart>
      <c:catAx>
        <c:axId val="181938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5023"/>
        <c:crosses val="autoZero"/>
        <c:auto val="1"/>
        <c:lblAlgn val="ctr"/>
        <c:lblOffset val="100"/>
        <c:noMultiLvlLbl val="0"/>
      </c:catAx>
      <c:valAx>
        <c:axId val="181938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Uniform</a:t>
                </a:r>
                <a:r>
                  <a:rPr lang="en-IN" baseline="0"/>
                  <a:t> Distribution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practical6!$C$4</c:f>
              <c:strCache>
                <c:ptCount val="1"/>
                <c:pt idx="0">
                  <c:v>exponential distribution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practical6!$D$4:$G$4</c:f>
              <c:numCache>
                <c:formatCode>General</c:formatCode>
                <c:ptCount val="4"/>
                <c:pt idx="1">
                  <c:v>7.1626199215047521E-4</c:v>
                </c:pt>
                <c:pt idx="2">
                  <c:v>6.3209898951186621E-4</c:v>
                </c:pt>
                <c:pt idx="3">
                  <c:v>5.5782540037107458E-4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8-42EA-B416-6E595DE2B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273775"/>
        <c:axId val="1156267055"/>
      </c:lineChart>
      <c:catAx>
        <c:axId val="115627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7055"/>
        <c:crosses val="autoZero"/>
        <c:auto val="1"/>
        <c:lblAlgn val="ctr"/>
        <c:lblOffset val="100"/>
        <c:noMultiLvlLbl val="0"/>
      </c:catAx>
      <c:valAx>
        <c:axId val="115626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practical7!$C$1</c:f>
              <c:strCache>
                <c:ptCount val="1"/>
                <c:pt idx="0">
                  <c:v>Normal Distribution(Column 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practical7!$B$2:$B$11</c:f>
              <c:numCache>
                <c:formatCode>General</c:formatCode>
                <c:ptCount val="10"/>
                <c:pt idx="0">
                  <c:v>24</c:v>
                </c:pt>
                <c:pt idx="1">
                  <c:v>30</c:v>
                </c:pt>
                <c:pt idx="2">
                  <c:v>36</c:v>
                </c:pt>
                <c:pt idx="3">
                  <c:v>42</c:v>
                </c:pt>
                <c:pt idx="4">
                  <c:v>48</c:v>
                </c:pt>
                <c:pt idx="5">
                  <c:v>54</c:v>
                </c:pt>
                <c:pt idx="6">
                  <c:v>60</c:v>
                </c:pt>
                <c:pt idx="7">
                  <c:v>66</c:v>
                </c:pt>
                <c:pt idx="8">
                  <c:v>72</c:v>
                </c:pt>
                <c:pt idx="9">
                  <c:v>78</c:v>
                </c:pt>
              </c:numCache>
            </c:numRef>
          </c:xVal>
          <c:yVal>
            <c:numRef>
              <c:f>practical7!$C$2:$C$11</c:f>
              <c:numCache>
                <c:formatCode>General</c:formatCode>
                <c:ptCount val="10"/>
                <c:pt idx="0">
                  <c:v>6.7847534091964234E-3</c:v>
                </c:pt>
                <c:pt idx="1">
                  <c:v>1.1017957414425345E-2</c:v>
                </c:pt>
                <c:pt idx="2">
                  <c:v>1.5849893762005438E-2</c:v>
                </c:pt>
                <c:pt idx="3">
                  <c:v>2.0198069691463299E-2</c:v>
                </c:pt>
                <c:pt idx="4">
                  <c:v>2.2800880673031865E-2</c:v>
                </c:pt>
                <c:pt idx="5">
                  <c:v>2.2800880673031865E-2</c:v>
                </c:pt>
                <c:pt idx="6">
                  <c:v>2.0198069691463299E-2</c:v>
                </c:pt>
                <c:pt idx="7">
                  <c:v>1.5849893762005438E-2</c:v>
                </c:pt>
                <c:pt idx="8">
                  <c:v>1.1017957414425345E-2</c:v>
                </c:pt>
                <c:pt idx="9">
                  <c:v>6.7847534091964234E-3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E4-41E8-AAD2-48EABCAA1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240655"/>
        <c:axId val="1156241135"/>
      </c:scatterChart>
      <c:valAx>
        <c:axId val="115624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41135"/>
        <c:crosses val="autoZero"/>
        <c:crossBetween val="midCat"/>
      </c:valAx>
      <c:valAx>
        <c:axId val="115624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40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practical8!$B$2</c:f>
              <c:strCache>
                <c:ptCount val="1"/>
                <c:pt idx="0">
                  <c:v>Exponential Distribution 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practical8!$A$3:$A$13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practical8!$B$3:$B$13</c:f>
              <c:numCache>
                <c:formatCode>General</c:formatCode>
                <c:ptCount val="11"/>
                <c:pt idx="0">
                  <c:v>0</c:v>
                </c:pt>
                <c:pt idx="1">
                  <c:v>0.32967995396436073</c:v>
                </c:pt>
                <c:pt idx="2">
                  <c:v>0.55067103588277844</c:v>
                </c:pt>
                <c:pt idx="3">
                  <c:v>0.69880578808779803</c:v>
                </c:pt>
                <c:pt idx="4">
                  <c:v>0.79810348200534464</c:v>
                </c:pt>
                <c:pt idx="5">
                  <c:v>0.8646647167633873</c:v>
                </c:pt>
                <c:pt idx="6">
                  <c:v>0.90928204671058754</c:v>
                </c:pt>
                <c:pt idx="7">
                  <c:v>0.93918993737478207</c:v>
                </c:pt>
                <c:pt idx="8">
                  <c:v>0.95923779602163384</c:v>
                </c:pt>
                <c:pt idx="9">
                  <c:v>0.97267627755270747</c:v>
                </c:pt>
                <c:pt idx="10">
                  <c:v>0.98168436111126578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8F-47CC-A589-0A64DC06A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773391"/>
        <c:axId val="1823781071"/>
      </c:lineChart>
      <c:catAx>
        <c:axId val="182377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81071"/>
        <c:crosses val="autoZero"/>
        <c:auto val="1"/>
        <c:lblAlgn val="ctr"/>
        <c:lblOffset val="100"/>
        <c:noMultiLvlLbl val="0"/>
      </c:catAx>
      <c:valAx>
        <c:axId val="182378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7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practical8!$E$2</c:f>
              <c:strCache>
                <c:ptCount val="1"/>
                <c:pt idx="0">
                  <c:v>Normal Distribution 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practical8!$D$3:$D$12</c:f>
              <c:numCache>
                <c:formatCode>General</c:formatCode>
                <c:ptCount val="10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</c:numCache>
            </c:numRef>
          </c:cat>
          <c:val>
            <c:numRef>
              <c:f>practical8!$E$3:$E$12</c:f>
              <c:numCache>
                <c:formatCode>General</c:formatCode>
                <c:ptCount val="10"/>
                <c:pt idx="0">
                  <c:v>8.8902529910843192E-4</c:v>
                </c:pt>
                <c:pt idx="1">
                  <c:v>1.3498980316300933E-3</c:v>
                </c:pt>
                <c:pt idx="2">
                  <c:v>2.0201374899460013E-3</c:v>
                </c:pt>
                <c:pt idx="3">
                  <c:v>2.9797632350545551E-3</c:v>
                </c:pt>
                <c:pt idx="4">
                  <c:v>4.3324483630125558E-3</c:v>
                </c:pt>
                <c:pt idx="5">
                  <c:v>6.2096653257761331E-3</c:v>
                </c:pt>
                <c:pt idx="6">
                  <c:v>8.7744750957383603E-3</c:v>
                </c:pt>
                <c:pt idx="7">
                  <c:v>1.2224472655044696E-2</c:v>
                </c:pt>
                <c:pt idx="8">
                  <c:v>1.67933064484488E-2</c:v>
                </c:pt>
                <c:pt idx="9">
                  <c:v>2.2750131948179191E-2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7-4922-A372-47D9BC574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775311"/>
        <c:axId val="1823782031"/>
      </c:lineChart>
      <c:catAx>
        <c:axId val="182377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82031"/>
        <c:crosses val="autoZero"/>
        <c:auto val="1"/>
        <c:lblAlgn val="ctr"/>
        <c:lblOffset val="100"/>
        <c:noMultiLvlLbl val="0"/>
      </c:catAx>
      <c:valAx>
        <c:axId val="182378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7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practical10!$B$3</c:f>
              <c:strCache>
                <c:ptCount val="1"/>
                <c:pt idx="0">
                  <c:v>Binomial Distribution Probability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practical10!$A$4:$A$19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practical10!$B$4:$B$19</c:f>
              <c:numCache>
                <c:formatCode>General</c:formatCode>
                <c:ptCount val="16"/>
                <c:pt idx="0">
                  <c:v>4.3789389038086019E-13</c:v>
                </c:pt>
                <c:pt idx="1">
                  <c:v>3.7220980682373171E-11</c:v>
                </c:pt>
                <c:pt idx="2">
                  <c:v>1.4764322337341338E-9</c:v>
                </c:pt>
                <c:pt idx="3">
                  <c:v>3.6254613739471583E-8</c:v>
                </c:pt>
                <c:pt idx="4">
                  <c:v>6.163284335710163E-7</c:v>
                </c:pt>
                <c:pt idx="5">
                  <c:v>7.6835611385186542E-6</c:v>
                </c:pt>
                <c:pt idx="6">
                  <c:v>7.25669663082319E-5</c:v>
                </c:pt>
                <c:pt idx="7">
                  <c:v>5.2870218310283122E-4</c:v>
                </c:pt>
                <c:pt idx="8">
                  <c:v>2.9959790375827097E-3</c:v>
                </c:pt>
                <c:pt idx="9">
                  <c:v>1.3204500202679359E-2</c:v>
                </c:pt>
                <c:pt idx="10">
                  <c:v>4.4895300689109796E-2</c:v>
                </c:pt>
                <c:pt idx="11">
                  <c:v>0.11563941086588875</c:v>
                </c:pt>
                <c:pt idx="12">
                  <c:v>0.21842999830223433</c:v>
                </c:pt>
                <c:pt idx="13">
                  <c:v>0.28563922854907564</c:v>
                </c:pt>
                <c:pt idx="14">
                  <c:v>0.23123175644448976</c:v>
                </c:pt>
                <c:pt idx="15">
                  <c:v>8.7354219101251684E-2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9-4DC1-8BD7-08C333B29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3798351"/>
        <c:axId val="1823799311"/>
      </c:barChart>
      <c:catAx>
        <c:axId val="182379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99311"/>
        <c:crosses val="autoZero"/>
        <c:auto val="1"/>
        <c:lblAlgn val="ctr"/>
        <c:lblOffset val="100"/>
        <c:noMultiLvlLbl val="0"/>
      </c:catAx>
      <c:valAx>
        <c:axId val="182379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9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practical11!$B$2</c:f>
              <c:strCache>
                <c:ptCount val="1"/>
                <c:pt idx="0">
                  <c:v>Poisson Distribution Probability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practical11!$A$3:$A$9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practical11!$B$3:$B$9</c:f>
              <c:numCache>
                <c:formatCode>General</c:formatCode>
                <c:ptCount val="7"/>
                <c:pt idx="0">
                  <c:v>2.4787521766663585E-3</c:v>
                </c:pt>
                <c:pt idx="1">
                  <c:v>4.4617539179994462E-2</c:v>
                </c:pt>
                <c:pt idx="2">
                  <c:v>0.13385261753998337</c:v>
                </c:pt>
                <c:pt idx="3">
                  <c:v>0.16062314104798003</c:v>
                </c:pt>
                <c:pt idx="4">
                  <c:v>0.10325773353084432</c:v>
                </c:pt>
                <c:pt idx="5">
                  <c:v>4.1303093412337732E-2</c:v>
                </c:pt>
                <c:pt idx="6">
                  <c:v>1.1264480021546661E-2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F9-4C52-8A44-C149B1E0C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391263"/>
        <c:axId val="1819383583"/>
      </c:scatterChart>
      <c:valAx>
        <c:axId val="181939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3583"/>
        <c:crosses val="autoZero"/>
        <c:crossBetween val="midCat"/>
      </c:valAx>
      <c:valAx>
        <c:axId val="181938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1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practical12!$C$3</c:f>
              <c:strCache>
                <c:ptCount val="1"/>
                <c:pt idx="0">
                  <c:v>Normal Distribution(PDF)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practical12!$B$4:$B$28</c:f>
              <c:numCache>
                <c:formatCode>General</c:formatCode>
                <c:ptCount val="25"/>
                <c:pt idx="0">
                  <c:v>3.1</c:v>
                </c:pt>
                <c:pt idx="1">
                  <c:v>3.14</c:v>
                </c:pt>
                <c:pt idx="2">
                  <c:v>3.17</c:v>
                </c:pt>
                <c:pt idx="3">
                  <c:v>3.21</c:v>
                </c:pt>
                <c:pt idx="4">
                  <c:v>3.24</c:v>
                </c:pt>
                <c:pt idx="5">
                  <c:v>3.28</c:v>
                </c:pt>
                <c:pt idx="6">
                  <c:v>3.31</c:v>
                </c:pt>
                <c:pt idx="7">
                  <c:v>3.35</c:v>
                </c:pt>
                <c:pt idx="8">
                  <c:v>3.38</c:v>
                </c:pt>
                <c:pt idx="9">
                  <c:v>3.42</c:v>
                </c:pt>
                <c:pt idx="10">
                  <c:v>3.45</c:v>
                </c:pt>
                <c:pt idx="11">
                  <c:v>3.49</c:v>
                </c:pt>
                <c:pt idx="12">
                  <c:v>3.5</c:v>
                </c:pt>
                <c:pt idx="13">
                  <c:v>3.51</c:v>
                </c:pt>
                <c:pt idx="14">
                  <c:v>3.55</c:v>
                </c:pt>
                <c:pt idx="15">
                  <c:v>3.58</c:v>
                </c:pt>
                <c:pt idx="16">
                  <c:v>3.62</c:v>
                </c:pt>
                <c:pt idx="17">
                  <c:v>3.65</c:v>
                </c:pt>
                <c:pt idx="18">
                  <c:v>3.69</c:v>
                </c:pt>
                <c:pt idx="19">
                  <c:v>3.72</c:v>
                </c:pt>
                <c:pt idx="20">
                  <c:v>3.76</c:v>
                </c:pt>
                <c:pt idx="21">
                  <c:v>3.79</c:v>
                </c:pt>
                <c:pt idx="22">
                  <c:v>3.83</c:v>
                </c:pt>
                <c:pt idx="23">
                  <c:v>3.86</c:v>
                </c:pt>
                <c:pt idx="24">
                  <c:v>3.9</c:v>
                </c:pt>
              </c:numCache>
            </c:numRef>
          </c:xVal>
          <c:yVal>
            <c:numRef>
              <c:f>practical12!$C$4:$C$28</c:f>
              <c:numCache>
                <c:formatCode>General</c:formatCode>
                <c:ptCount val="25"/>
                <c:pt idx="0">
                  <c:v>7.5973240158649716E-2</c:v>
                </c:pt>
                <c:pt idx="1">
                  <c:v>0.14929686863228619</c:v>
                </c:pt>
                <c:pt idx="2">
                  <c:v>0.23649728564154263</c:v>
                </c:pt>
                <c:pt idx="3">
                  <c:v>0.41036534232898164</c:v>
                </c:pt>
                <c:pt idx="4">
                  <c:v>0.59212307393728048</c:v>
                </c:pt>
                <c:pt idx="5">
                  <c:v>0.90721654941518526</c:v>
                </c:pt>
                <c:pt idx="6">
                  <c:v>1.1923894432969375</c:v>
                </c:pt>
                <c:pt idx="7">
                  <c:v>1.6131381634609565</c:v>
                </c:pt>
                <c:pt idx="8">
                  <c:v>1.931277018409884</c:v>
                </c:pt>
                <c:pt idx="9">
                  <c:v>2.3070259545128189</c:v>
                </c:pt>
                <c:pt idx="10">
                  <c:v>2.5158881846199557</c:v>
                </c:pt>
                <c:pt idx="11">
                  <c:v>2.6537115087596819</c:v>
                </c:pt>
                <c:pt idx="12">
                  <c:v>2.6596152026762181</c:v>
                </c:pt>
                <c:pt idx="13">
                  <c:v>2.6537115087596819</c:v>
                </c:pt>
                <c:pt idx="14">
                  <c:v>2.5158881846199557</c:v>
                </c:pt>
                <c:pt idx="15">
                  <c:v>2.3070259545128189</c:v>
                </c:pt>
                <c:pt idx="16">
                  <c:v>1.931277018409884</c:v>
                </c:pt>
                <c:pt idx="17">
                  <c:v>1.6131381634609565</c:v>
                </c:pt>
                <c:pt idx="18">
                  <c:v>1.1923894432969375</c:v>
                </c:pt>
                <c:pt idx="19">
                  <c:v>0.90721654941518526</c:v>
                </c:pt>
                <c:pt idx="20">
                  <c:v>0.59212307393728048</c:v>
                </c:pt>
                <c:pt idx="21">
                  <c:v>0.41036534232898164</c:v>
                </c:pt>
                <c:pt idx="22">
                  <c:v>0.23649728564154263</c:v>
                </c:pt>
                <c:pt idx="23">
                  <c:v>0.14929686863228619</c:v>
                </c:pt>
                <c:pt idx="24">
                  <c:v>7.5973240158649716E-2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2-4270-AF50-C3543D841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350463"/>
        <c:axId val="1819350943"/>
      </c:scatterChart>
      <c:valAx>
        <c:axId val="181935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50943"/>
        <c:crosses val="autoZero"/>
        <c:crossBetween val="midCat"/>
      </c:valAx>
      <c:valAx>
        <c:axId val="181935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50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practical13!$C$1</c:f>
              <c:strCache>
                <c:ptCount val="1"/>
                <c:pt idx="0">
                  <c:v>New Users(Y)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practical13!$B$2:$B$9</c:f>
              <c:numCache>
                <c:formatCode>General</c:formatCode>
                <c:ptCount val="8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22</c:v>
                </c:pt>
                <c:pt idx="4">
                  <c:v>18</c:v>
                </c:pt>
                <c:pt idx="5">
                  <c:v>25</c:v>
                </c:pt>
                <c:pt idx="6">
                  <c:v>30</c:v>
                </c:pt>
                <c:pt idx="7">
                  <c:v>14</c:v>
                </c:pt>
              </c:numCache>
            </c:numRef>
          </c:xVal>
          <c:yVal>
            <c:numRef>
              <c:f>practical13!$C$2:$C$9</c:f>
              <c:numCache>
                <c:formatCode>General</c:formatCode>
                <c:ptCount val="8"/>
                <c:pt idx="0">
                  <c:v>24</c:v>
                </c:pt>
                <c:pt idx="1">
                  <c:v>30</c:v>
                </c:pt>
                <c:pt idx="2">
                  <c:v>18</c:v>
                </c:pt>
                <c:pt idx="3">
                  <c:v>45</c:v>
                </c:pt>
                <c:pt idx="4">
                  <c:v>38</c:v>
                </c:pt>
                <c:pt idx="5">
                  <c:v>52</c:v>
                </c:pt>
                <c:pt idx="6">
                  <c:v>65</c:v>
                </c:pt>
                <c:pt idx="7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EF-4AF2-AE14-3162A33C0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72431"/>
        <c:axId val="1823793551"/>
      </c:scatterChart>
      <c:valAx>
        <c:axId val="182377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93551"/>
        <c:crosses val="autoZero"/>
        <c:crossBetween val="midCat"/>
      </c:valAx>
      <c:valAx>
        <c:axId val="182379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7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2</xdr:row>
      <xdr:rowOff>160020</xdr:rowOff>
    </xdr:from>
    <xdr:to>
      <xdr:col>6</xdr:col>
      <xdr:colOff>53340</xdr:colOff>
      <xdr:row>16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DDA6C-A953-B49F-9AB8-EC5F28CBE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3</xdr:row>
      <xdr:rowOff>76200</xdr:rowOff>
    </xdr:from>
    <xdr:to>
      <xdr:col>13</xdr:col>
      <xdr:colOff>83820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44CC6-C17C-665F-CF18-FA63579E4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4</xdr:row>
      <xdr:rowOff>49530</xdr:rowOff>
    </xdr:from>
    <xdr:to>
      <xdr:col>10</xdr:col>
      <xdr:colOff>45720</xdr:colOff>
      <xdr:row>19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81BBE-35BF-4E35-DECC-A8CE80437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</xdr:row>
      <xdr:rowOff>11430</xdr:rowOff>
    </xdr:from>
    <xdr:to>
      <xdr:col>10</xdr:col>
      <xdr:colOff>121920</xdr:colOff>
      <xdr:row>11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7E3B66-A8B7-8C2E-46E3-1E119A513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0</xdr:rowOff>
    </xdr:from>
    <xdr:to>
      <xdr:col>13</xdr:col>
      <xdr:colOff>22860</xdr:colOff>
      <xdr:row>12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D66A02-8614-8680-0C13-461987854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6</xdr:row>
      <xdr:rowOff>15240</xdr:rowOff>
    </xdr:from>
    <xdr:to>
      <xdr:col>11</xdr:col>
      <xdr:colOff>198120</xdr:colOff>
      <xdr:row>14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A82ADB-4F4F-1E2E-B0BE-85CF9BD7A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464820</xdr:colOff>
      <xdr:row>0</xdr:row>
      <xdr:rowOff>0</xdr:rowOff>
    </xdr:from>
    <xdr:to>
      <xdr:col>11</xdr:col>
      <xdr:colOff>160020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E943B-BD56-EF6A-6AE9-2B67F1728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15</xdr:row>
      <xdr:rowOff>144780</xdr:rowOff>
    </xdr:from>
    <xdr:to>
      <xdr:col>4</xdr:col>
      <xdr:colOff>914400</xdr:colOff>
      <xdr:row>24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F2AE26-99B8-80C1-538D-B289E816D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952500</xdr:colOff>
      <xdr:row>14</xdr:row>
      <xdr:rowOff>83820</xdr:rowOff>
    </xdr:from>
    <xdr:to>
      <xdr:col>9</xdr:col>
      <xdr:colOff>243840</xdr:colOff>
      <xdr:row>27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F76EA6-F671-F480-2651-235F47269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0</xdr:row>
      <xdr:rowOff>0</xdr:rowOff>
    </xdr:from>
    <xdr:to>
      <xdr:col>9</xdr:col>
      <xdr:colOff>403860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53425D-BBFB-33E1-B182-30445A6C4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1</xdr:row>
      <xdr:rowOff>34290</xdr:rowOff>
    </xdr:from>
    <xdr:to>
      <xdr:col>9</xdr:col>
      <xdr:colOff>541020</xdr:colOff>
      <xdr:row>13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CF2CAC-6F5E-3533-FB5F-07A730A2A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4</xdr:row>
      <xdr:rowOff>26670</xdr:rowOff>
    </xdr:from>
    <xdr:to>
      <xdr:col>10</xdr:col>
      <xdr:colOff>472440</xdr:colOff>
      <xdr:row>19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FAEDF4-B27C-BC70-40EC-EAA6EB8BF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4</xdr:row>
      <xdr:rowOff>87630</xdr:rowOff>
    </xdr:from>
    <xdr:to>
      <xdr:col>11</xdr:col>
      <xdr:colOff>251460</xdr:colOff>
      <xdr:row>19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B09B96-9895-1DF2-E090-2ABB69EDF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D80A-DD3C-46AF-8853-D1730335EA5A}">
  <dimension ref="A1:B17"/>
  <sheetViews>
    <sheetView workbookViewId="0">
      <selection activeCell="A21" sqref="A21"/>
    </sheetView>
  </sheetViews>
  <sheetFormatPr defaultRowHeight="14.4" x14ac:dyDescent="0.3"/>
  <cols>
    <col min="1" max="1" width="33.33203125" customWidth="1"/>
    <col min="2" max="2" width="17.88671875" customWidth="1"/>
  </cols>
  <sheetData>
    <row r="1" spans="1:2" x14ac:dyDescent="0.3">
      <c r="A1" t="s">
        <v>0</v>
      </c>
      <c r="B1">
        <v>12</v>
      </c>
    </row>
    <row r="2" spans="1:2" x14ac:dyDescent="0.3">
      <c r="A2" t="s">
        <v>1</v>
      </c>
      <c r="B2">
        <v>0.8</v>
      </c>
    </row>
    <row r="4" spans="1:2" x14ac:dyDescent="0.3">
      <c r="A4" t="s">
        <v>2</v>
      </c>
      <c r="B4" t="s">
        <v>3</v>
      </c>
    </row>
    <row r="5" spans="1:2" x14ac:dyDescent="0.3">
      <c r="A5">
        <v>0</v>
      </c>
      <c r="B5">
        <f>_xlfn.BINOM.DIST(A5,$B$1,$B$2,FALSE)</f>
        <v>4.0959999999999933E-9</v>
      </c>
    </row>
    <row r="6" spans="1:2" x14ac:dyDescent="0.3">
      <c r="A6">
        <v>1</v>
      </c>
      <c r="B6">
        <f t="shared" ref="B6:B17" si="0">_xlfn.BINOM.DIST(A6,$B$1,$B$2,FALSE)</f>
        <v>1.9660799999999993E-7</v>
      </c>
    </row>
    <row r="7" spans="1:2" x14ac:dyDescent="0.3">
      <c r="A7">
        <v>2</v>
      </c>
      <c r="B7">
        <f t="shared" si="0"/>
        <v>4.3253759999999791E-6</v>
      </c>
    </row>
    <row r="8" spans="1:2" x14ac:dyDescent="0.3">
      <c r="A8">
        <v>3</v>
      </c>
      <c r="B8">
        <f t="shared" si="0"/>
        <v>5.7671679999999842E-5</v>
      </c>
    </row>
    <row r="9" spans="1:2" x14ac:dyDescent="0.3">
      <c r="A9">
        <v>4</v>
      </c>
      <c r="B9">
        <f t="shared" si="0"/>
        <v>5.1904511999999951E-4</v>
      </c>
    </row>
    <row r="10" spans="1:2" x14ac:dyDescent="0.3">
      <c r="A10">
        <v>5</v>
      </c>
      <c r="B10">
        <f t="shared" si="0"/>
        <v>3.3218887679999937E-3</v>
      </c>
    </row>
    <row r="11" spans="1:2" x14ac:dyDescent="0.3">
      <c r="A11">
        <v>6</v>
      </c>
      <c r="B11">
        <f t="shared" si="0"/>
        <v>1.550214758399999E-2</v>
      </c>
    </row>
    <row r="12" spans="1:2" x14ac:dyDescent="0.3">
      <c r="A12">
        <v>7</v>
      </c>
      <c r="B12">
        <f t="shared" si="0"/>
        <v>5.3150220287999962E-2</v>
      </c>
    </row>
    <row r="13" spans="1:2" x14ac:dyDescent="0.3">
      <c r="A13">
        <v>8</v>
      </c>
      <c r="B13">
        <f t="shared" si="0"/>
        <v>0.13287555071999999</v>
      </c>
    </row>
    <row r="14" spans="1:2" x14ac:dyDescent="0.3">
      <c r="A14">
        <v>9</v>
      </c>
      <c r="B14">
        <f t="shared" si="0"/>
        <v>0.23622320127999991</v>
      </c>
    </row>
    <row r="15" spans="1:2" x14ac:dyDescent="0.3">
      <c r="A15">
        <v>10</v>
      </c>
      <c r="B15">
        <f t="shared" si="0"/>
        <v>0.28346784153600002</v>
      </c>
    </row>
    <row r="16" spans="1:2" x14ac:dyDescent="0.3">
      <c r="A16">
        <v>11</v>
      </c>
      <c r="B16">
        <f t="shared" si="0"/>
        <v>0.20615843020800007</v>
      </c>
    </row>
    <row r="17" spans="1:2" x14ac:dyDescent="0.3">
      <c r="A17">
        <v>12</v>
      </c>
      <c r="B17">
        <f t="shared" si="0"/>
        <v>6.871947673600004E-2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F807-2B47-476C-914C-8CF65BA149D8}">
  <dimension ref="A1:E20"/>
  <sheetViews>
    <sheetView workbookViewId="0">
      <selection activeCell="E14" sqref="E14"/>
    </sheetView>
  </sheetViews>
  <sheetFormatPr defaultRowHeight="14.4" x14ac:dyDescent="0.3"/>
  <cols>
    <col min="1" max="1" width="15.109375" customWidth="1"/>
    <col min="3" max="3" width="12.21875" customWidth="1"/>
    <col min="4" max="4" width="13.44140625" customWidth="1"/>
    <col min="5" max="5" width="10.44140625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9</v>
      </c>
      <c r="B2" t="s">
        <v>15</v>
      </c>
      <c r="C2">
        <v>3</v>
      </c>
      <c r="D2">
        <v>4</v>
      </c>
      <c r="E2">
        <v>2</v>
      </c>
    </row>
    <row r="3" spans="1:5" x14ac:dyDescent="0.3">
      <c r="A3" t="s">
        <v>10</v>
      </c>
      <c r="B3" t="s">
        <v>16</v>
      </c>
      <c r="C3">
        <v>2</v>
      </c>
      <c r="D3">
        <v>1</v>
      </c>
      <c r="E3">
        <v>2</v>
      </c>
    </row>
    <row r="4" spans="1:5" x14ac:dyDescent="0.3">
      <c r="A4" t="s">
        <v>11</v>
      </c>
      <c r="B4" t="s">
        <v>17</v>
      </c>
      <c r="C4">
        <v>5</v>
      </c>
      <c r="D4">
        <v>3</v>
      </c>
      <c r="E4">
        <v>3</v>
      </c>
    </row>
    <row r="6" spans="1:5" x14ac:dyDescent="0.3">
      <c r="A6" t="s">
        <v>12</v>
      </c>
      <c r="B6" t="s">
        <v>18</v>
      </c>
      <c r="C6">
        <v>0.4</v>
      </c>
      <c r="D6">
        <v>0.4</v>
      </c>
      <c r="E6">
        <v>0.4</v>
      </c>
    </row>
    <row r="7" spans="1:5" x14ac:dyDescent="0.3">
      <c r="A7" t="s">
        <v>13</v>
      </c>
      <c r="B7" t="s">
        <v>19</v>
      </c>
      <c r="C7">
        <v>0.2</v>
      </c>
      <c r="D7">
        <v>0.2</v>
      </c>
      <c r="E7">
        <v>0.2</v>
      </c>
    </row>
    <row r="8" spans="1:5" x14ac:dyDescent="0.3">
      <c r="A8" t="s">
        <v>14</v>
      </c>
      <c r="B8" t="s">
        <v>20</v>
      </c>
      <c r="C8">
        <v>0.4</v>
      </c>
      <c r="D8">
        <v>0.4</v>
      </c>
      <c r="E8">
        <v>0.4</v>
      </c>
    </row>
    <row r="10" spans="1:5" x14ac:dyDescent="0.3">
      <c r="A10" t="s">
        <v>21</v>
      </c>
      <c r="C10">
        <v>2520</v>
      </c>
      <c r="D10">
        <v>280</v>
      </c>
      <c r="E10">
        <v>210</v>
      </c>
    </row>
    <row r="11" spans="1:5" x14ac:dyDescent="0.3">
      <c r="A11" t="s">
        <v>22</v>
      </c>
      <c r="C11">
        <f>C6^C2</f>
        <v>6.4000000000000015E-2</v>
      </c>
      <c r="D11">
        <f t="shared" ref="D11:E11" si="0">D6^D2</f>
        <v>2.5600000000000012E-2</v>
      </c>
      <c r="E11">
        <f t="shared" si="0"/>
        <v>0.16000000000000003</v>
      </c>
    </row>
    <row r="12" spans="1:5" x14ac:dyDescent="0.3">
      <c r="A12" t="s">
        <v>23</v>
      </c>
      <c r="C12">
        <f>C7^C3</f>
        <v>4.0000000000000008E-2</v>
      </c>
      <c r="D12">
        <f t="shared" ref="D12:E12" si="1">D7^D3</f>
        <v>0.2</v>
      </c>
      <c r="E12">
        <f t="shared" si="1"/>
        <v>4.0000000000000008E-2</v>
      </c>
    </row>
    <row r="13" spans="1:5" x14ac:dyDescent="0.3">
      <c r="A13" t="s">
        <v>24</v>
      </c>
      <c r="C13">
        <f>C8^C4</f>
        <v>1.0240000000000006E-2</v>
      </c>
      <c r="D13">
        <f t="shared" ref="D13:E13" si="2">D8^D4</f>
        <v>6.4000000000000015E-2</v>
      </c>
      <c r="E13">
        <f t="shared" si="2"/>
        <v>6.4000000000000015E-2</v>
      </c>
    </row>
    <row r="15" spans="1:5" x14ac:dyDescent="0.3">
      <c r="A15" t="s">
        <v>25</v>
      </c>
      <c r="C15">
        <f>C10*C11*C12*C13</f>
        <v>6.6060288000000064E-2</v>
      </c>
      <c r="D15">
        <f t="shared" ref="D15:E15" si="3">D10*D11*D12*D13</f>
        <v>9.1750400000000065E-2</v>
      </c>
      <c r="E15">
        <f t="shared" si="3"/>
        <v>8.6016000000000051E-2</v>
      </c>
    </row>
    <row r="17" spans="3:4" x14ac:dyDescent="0.3">
      <c r="C17" t="s">
        <v>26</v>
      </c>
      <c r="D17" t="s">
        <v>27</v>
      </c>
    </row>
    <row r="18" spans="3:4" x14ac:dyDescent="0.3">
      <c r="C18">
        <v>2520</v>
      </c>
      <c r="D18">
        <v>6.6060287999999995E-2</v>
      </c>
    </row>
    <row r="19" spans="3:4" x14ac:dyDescent="0.3">
      <c r="C19">
        <v>280</v>
      </c>
      <c r="D19">
        <v>9.1750399999999996E-2</v>
      </c>
    </row>
    <row r="20" spans="3:4" x14ac:dyDescent="0.3">
      <c r="C20">
        <v>210</v>
      </c>
      <c r="D20">
        <v>8.6015999999999995E-2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187A-58D9-4D3A-8850-114BF0BB05DE}">
  <dimension ref="A1:B18"/>
  <sheetViews>
    <sheetView workbookViewId="0">
      <selection activeCell="C3" sqref="C3"/>
    </sheetView>
  </sheetViews>
  <sheetFormatPr defaultRowHeight="14.4" x14ac:dyDescent="0.3"/>
  <cols>
    <col min="1" max="1" width="19.44140625" customWidth="1"/>
    <col min="2" max="2" width="17.33203125" customWidth="1"/>
  </cols>
  <sheetData>
    <row r="1" spans="1:2" x14ac:dyDescent="0.3">
      <c r="A1" t="s">
        <v>28</v>
      </c>
      <c r="B1">
        <v>11</v>
      </c>
    </row>
    <row r="2" spans="1:2" x14ac:dyDescent="0.3">
      <c r="A2" t="s">
        <v>30</v>
      </c>
      <c r="B2" t="s">
        <v>29</v>
      </c>
    </row>
    <row r="3" spans="1:2" x14ac:dyDescent="0.3">
      <c r="A3">
        <v>0</v>
      </c>
      <c r="B3">
        <f>_xlfn.POISSON.DIST(A3, $B$1, FALSE)</f>
        <v>1.6701700790245659E-5</v>
      </c>
    </row>
    <row r="4" spans="1:2" x14ac:dyDescent="0.3">
      <c r="A4">
        <v>1</v>
      </c>
      <c r="B4">
        <f t="shared" ref="B4:B18" si="0">_xlfn.POISSON.DIST(A4, $B$1, FALSE)</f>
        <v>1.8371870869270227E-4</v>
      </c>
    </row>
    <row r="5" spans="1:2" x14ac:dyDescent="0.3">
      <c r="A5">
        <v>2</v>
      </c>
      <c r="B5">
        <f t="shared" si="0"/>
        <v>1.0104528978098631E-3</v>
      </c>
    </row>
    <row r="6" spans="1:2" x14ac:dyDescent="0.3">
      <c r="A6">
        <v>3</v>
      </c>
      <c r="B6">
        <f t="shared" si="0"/>
        <v>3.7049939586361628E-3</v>
      </c>
    </row>
    <row r="7" spans="1:2" x14ac:dyDescent="0.3">
      <c r="A7">
        <v>4</v>
      </c>
      <c r="B7">
        <f t="shared" si="0"/>
        <v>1.0188733386249446E-2</v>
      </c>
    </row>
    <row r="8" spans="1:2" x14ac:dyDescent="0.3">
      <c r="A8">
        <v>5</v>
      </c>
      <c r="B8">
        <f t="shared" si="0"/>
        <v>2.241521344974878E-2</v>
      </c>
    </row>
    <row r="9" spans="1:2" x14ac:dyDescent="0.3">
      <c r="A9">
        <v>6</v>
      </c>
      <c r="B9">
        <f t="shared" si="0"/>
        <v>4.1094557991206107E-2</v>
      </c>
    </row>
    <row r="10" spans="1:2" x14ac:dyDescent="0.3">
      <c r="A10">
        <v>7</v>
      </c>
      <c r="B10">
        <f t="shared" si="0"/>
        <v>6.4577162557609605E-2</v>
      </c>
    </row>
    <row r="11" spans="1:2" x14ac:dyDescent="0.3">
      <c r="A11">
        <v>8</v>
      </c>
      <c r="B11">
        <f t="shared" si="0"/>
        <v>8.8793598516713187E-2</v>
      </c>
    </row>
    <row r="12" spans="1:2" x14ac:dyDescent="0.3">
      <c r="A12">
        <v>9</v>
      </c>
      <c r="B12">
        <f t="shared" si="0"/>
        <v>0.10852550929820498</v>
      </c>
    </row>
    <row r="13" spans="1:2" x14ac:dyDescent="0.3">
      <c r="A13">
        <v>10</v>
      </c>
      <c r="B13">
        <f t="shared" si="0"/>
        <v>0.1193780602280255</v>
      </c>
    </row>
    <row r="14" spans="1:2" x14ac:dyDescent="0.3">
      <c r="A14">
        <v>11</v>
      </c>
      <c r="B14">
        <f t="shared" si="0"/>
        <v>0.1193780602280255</v>
      </c>
    </row>
    <row r="15" spans="1:2" x14ac:dyDescent="0.3">
      <c r="A15">
        <v>12</v>
      </c>
      <c r="B15">
        <f t="shared" si="0"/>
        <v>0.10942988854235672</v>
      </c>
    </row>
    <row r="16" spans="1:2" x14ac:dyDescent="0.3">
      <c r="A16">
        <v>13</v>
      </c>
      <c r="B16">
        <f t="shared" si="0"/>
        <v>9.2594521074301842E-2</v>
      </c>
    </row>
    <row r="17" spans="1:2" x14ac:dyDescent="0.3">
      <c r="A17">
        <v>14</v>
      </c>
      <c r="B17">
        <f t="shared" si="0"/>
        <v>7.2752837986951438E-2</v>
      </c>
    </row>
    <row r="18" spans="1:2" x14ac:dyDescent="0.3">
      <c r="A18">
        <v>15</v>
      </c>
      <c r="B18">
        <f t="shared" si="0"/>
        <v>5.3352081190431062E-2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1EB6-B39C-4353-9771-3A3BDE967A52}">
  <dimension ref="A1:B10"/>
  <sheetViews>
    <sheetView workbookViewId="0">
      <selection activeCell="C3" sqref="C3"/>
    </sheetView>
  </sheetViews>
  <sheetFormatPr defaultRowHeight="14.4" x14ac:dyDescent="0.3"/>
  <cols>
    <col min="1" max="1" width="30.21875" customWidth="1"/>
    <col min="2" max="2" width="18.88671875" customWidth="1"/>
  </cols>
  <sheetData>
    <row r="1" spans="1:2" x14ac:dyDescent="0.3">
      <c r="A1" t="s">
        <v>31</v>
      </c>
      <c r="B1">
        <v>0.3</v>
      </c>
    </row>
    <row r="2" spans="1:2" x14ac:dyDescent="0.3">
      <c r="A2" t="s">
        <v>32</v>
      </c>
      <c r="B2" t="s">
        <v>33</v>
      </c>
    </row>
    <row r="3" spans="1:2" x14ac:dyDescent="0.3">
      <c r="A3">
        <v>0</v>
      </c>
      <c r="B3">
        <f>(1-$B$1)^A3 * $B$1</f>
        <v>0.3</v>
      </c>
    </row>
    <row r="4" spans="1:2" x14ac:dyDescent="0.3">
      <c r="A4">
        <v>1</v>
      </c>
      <c r="B4">
        <f t="shared" ref="B4:B10" si="0">(1-$B$1)^A4 * $B$1</f>
        <v>0.21</v>
      </c>
    </row>
    <row r="5" spans="1:2" x14ac:dyDescent="0.3">
      <c r="A5">
        <v>2</v>
      </c>
      <c r="B5">
        <f t="shared" si="0"/>
        <v>0.14699999999999996</v>
      </c>
    </row>
    <row r="6" spans="1:2" x14ac:dyDescent="0.3">
      <c r="A6">
        <v>3</v>
      </c>
      <c r="B6">
        <f t="shared" si="0"/>
        <v>0.10289999999999998</v>
      </c>
    </row>
    <row r="7" spans="1:2" x14ac:dyDescent="0.3">
      <c r="A7">
        <v>4</v>
      </c>
      <c r="B7">
        <f t="shared" si="0"/>
        <v>7.2029999999999969E-2</v>
      </c>
    </row>
    <row r="8" spans="1:2" x14ac:dyDescent="0.3">
      <c r="A8">
        <v>5</v>
      </c>
      <c r="B8">
        <f t="shared" si="0"/>
        <v>5.042099999999998E-2</v>
      </c>
    </row>
    <row r="9" spans="1:2" x14ac:dyDescent="0.3">
      <c r="A9">
        <v>6</v>
      </c>
      <c r="B9">
        <f t="shared" si="0"/>
        <v>3.5294699999999984E-2</v>
      </c>
    </row>
    <row r="10" spans="1:2" x14ac:dyDescent="0.3">
      <c r="A10">
        <v>7</v>
      </c>
      <c r="B10">
        <f t="shared" si="0"/>
        <v>2.4706289999999985E-2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34FD-BBAD-46F2-B2FC-16ADB5E3C106}">
  <dimension ref="A2:E8"/>
  <sheetViews>
    <sheetView workbookViewId="0">
      <selection activeCell="C8" sqref="C8"/>
    </sheetView>
  </sheetViews>
  <sheetFormatPr defaultRowHeight="14.4" x14ac:dyDescent="0.3"/>
  <cols>
    <col min="1" max="1" width="17.88671875" bestFit="1" customWidth="1"/>
  </cols>
  <sheetData>
    <row r="2" spans="1:5" x14ac:dyDescent="0.3">
      <c r="C2" t="s">
        <v>34</v>
      </c>
      <c r="D2" t="s">
        <v>35</v>
      </c>
      <c r="E2" t="s">
        <v>36</v>
      </c>
    </row>
    <row r="3" spans="1:5" x14ac:dyDescent="0.3">
      <c r="A3" t="s">
        <v>37</v>
      </c>
      <c r="B3">
        <v>10</v>
      </c>
    </row>
    <row r="4" spans="1:5" x14ac:dyDescent="0.3">
      <c r="A4" t="s">
        <v>38</v>
      </c>
      <c r="B4">
        <v>30</v>
      </c>
    </row>
    <row r="5" spans="1:5" x14ac:dyDescent="0.3">
      <c r="A5" t="s">
        <v>39</v>
      </c>
      <c r="C5">
        <v>12</v>
      </c>
      <c r="D5">
        <v>20</v>
      </c>
      <c r="E5">
        <v>27</v>
      </c>
    </row>
    <row r="6" spans="1:5" x14ac:dyDescent="0.3">
      <c r="A6" t="s">
        <v>40</v>
      </c>
      <c r="C6">
        <v>16</v>
      </c>
      <c r="D6">
        <v>25</v>
      </c>
      <c r="E6">
        <v>29</v>
      </c>
    </row>
    <row r="8" spans="1:5" x14ac:dyDescent="0.3">
      <c r="A8" t="s">
        <v>41</v>
      </c>
      <c r="C8">
        <f>(C6 - C5) / ($B$4 - $B$3)</f>
        <v>0.2</v>
      </c>
      <c r="D8">
        <f t="shared" ref="D8:E8" si="0">(D6 - D5) / ($B$4 - $B$3)</f>
        <v>0.25</v>
      </c>
      <c r="E8">
        <f t="shared" si="0"/>
        <v>0.1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A3EF-F073-4F81-BC19-1CECBFD5934D}">
  <dimension ref="A1:G4"/>
  <sheetViews>
    <sheetView topLeftCell="B1" workbookViewId="0">
      <selection activeCell="E4" sqref="E4"/>
    </sheetView>
  </sheetViews>
  <sheetFormatPr defaultRowHeight="14.4" x14ac:dyDescent="0.3"/>
  <cols>
    <col min="2" max="2" width="8.5546875" customWidth="1"/>
    <col min="3" max="3" width="19.6640625" customWidth="1"/>
  </cols>
  <sheetData>
    <row r="1" spans="1:7" x14ac:dyDescent="0.3">
      <c r="E1" t="s">
        <v>34</v>
      </c>
      <c r="F1" t="s">
        <v>35</v>
      </c>
      <c r="G1" t="s">
        <v>36</v>
      </c>
    </row>
    <row r="2" spans="1:7" x14ac:dyDescent="0.3">
      <c r="A2" t="str">
        <f>_xlfn.UNICHAR(956)</f>
        <v>μ</v>
      </c>
      <c r="B2">
        <v>400</v>
      </c>
      <c r="D2" t="s">
        <v>43</v>
      </c>
      <c r="E2">
        <v>500</v>
      </c>
      <c r="F2">
        <v>550</v>
      </c>
      <c r="G2">
        <v>600</v>
      </c>
    </row>
    <row r="3" spans="1:7" x14ac:dyDescent="0.3">
      <c r="A3" t="str">
        <f>_xlfn.UNICHAR(955)</f>
        <v>λ</v>
      </c>
      <c r="B3">
        <v>2.5000000000000001E-3</v>
      </c>
    </row>
    <row r="4" spans="1:7" x14ac:dyDescent="0.3">
      <c r="C4" t="s">
        <v>42</v>
      </c>
      <c r="E4">
        <f>_xlfn.EXPON.DIST(E2,$B$3,FALSE)</f>
        <v>7.1626199215047521E-4</v>
      </c>
      <c r="F4">
        <f t="shared" ref="F4:G4" si="0">_xlfn.EXPON.DIST(F2,$B$3,FALSE)</f>
        <v>6.3209898951186621E-4</v>
      </c>
      <c r="G4">
        <f t="shared" si="0"/>
        <v>5.5782540037107458E-4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DD12-9418-4546-A511-763FBAD1138E}">
  <dimension ref="A1:C11"/>
  <sheetViews>
    <sheetView workbookViewId="0">
      <selection activeCell="C20" sqref="C20"/>
    </sheetView>
  </sheetViews>
  <sheetFormatPr defaultRowHeight="14.4" x14ac:dyDescent="0.3"/>
  <cols>
    <col min="2" max="2" width="18" bestFit="1" customWidth="1"/>
    <col min="3" max="3" width="25.5546875" customWidth="1"/>
  </cols>
  <sheetData>
    <row r="1" spans="1:3" x14ac:dyDescent="0.3">
      <c r="A1" t="s">
        <v>44</v>
      </c>
      <c r="B1" t="s">
        <v>55</v>
      </c>
      <c r="C1" t="s">
        <v>56</v>
      </c>
    </row>
    <row r="2" spans="1:3" x14ac:dyDescent="0.3">
      <c r="A2" t="s">
        <v>45</v>
      </c>
      <c r="B2">
        <v>24</v>
      </c>
      <c r="C2">
        <f>_xlfn.NORM.DIST(B2,AVERAGE($B$2:$B$11),_xlfn.STDEV.P($B$2:$B$11),FALSE)</f>
        <v>6.7847534091964234E-3</v>
      </c>
    </row>
    <row r="3" spans="1:3" x14ac:dyDescent="0.3">
      <c r="A3" t="s">
        <v>46</v>
      </c>
      <c r="B3">
        <v>30</v>
      </c>
      <c r="C3">
        <f t="shared" ref="C3:C11" si="0">_xlfn.NORM.DIST(B3,AVERAGE($B$2:$B$11),_xlfn.STDEV.P($B$2:$B$11),FALSE)</f>
        <v>1.1017957414425345E-2</v>
      </c>
    </row>
    <row r="4" spans="1:3" x14ac:dyDescent="0.3">
      <c r="A4" t="s">
        <v>47</v>
      </c>
      <c r="B4">
        <v>36</v>
      </c>
      <c r="C4">
        <f t="shared" si="0"/>
        <v>1.5849893762005438E-2</v>
      </c>
    </row>
    <row r="5" spans="1:3" x14ac:dyDescent="0.3">
      <c r="A5" t="s">
        <v>48</v>
      </c>
      <c r="B5">
        <v>42</v>
      </c>
      <c r="C5">
        <f t="shared" si="0"/>
        <v>2.0198069691463299E-2</v>
      </c>
    </row>
    <row r="6" spans="1:3" x14ac:dyDescent="0.3">
      <c r="A6" t="s">
        <v>49</v>
      </c>
      <c r="B6">
        <v>48</v>
      </c>
      <c r="C6">
        <f t="shared" si="0"/>
        <v>2.2800880673031865E-2</v>
      </c>
    </row>
    <row r="7" spans="1:3" x14ac:dyDescent="0.3">
      <c r="A7" t="s">
        <v>50</v>
      </c>
      <c r="B7">
        <v>54</v>
      </c>
      <c r="C7">
        <f t="shared" si="0"/>
        <v>2.2800880673031865E-2</v>
      </c>
    </row>
    <row r="8" spans="1:3" x14ac:dyDescent="0.3">
      <c r="A8" t="s">
        <v>51</v>
      </c>
      <c r="B8">
        <v>60</v>
      </c>
      <c r="C8">
        <f t="shared" si="0"/>
        <v>2.0198069691463299E-2</v>
      </c>
    </row>
    <row r="9" spans="1:3" x14ac:dyDescent="0.3">
      <c r="A9" t="s">
        <v>52</v>
      </c>
      <c r="B9">
        <v>66</v>
      </c>
      <c r="C9">
        <f t="shared" si="0"/>
        <v>1.5849893762005438E-2</v>
      </c>
    </row>
    <row r="10" spans="1:3" x14ac:dyDescent="0.3">
      <c r="A10" t="s">
        <v>53</v>
      </c>
      <c r="B10">
        <v>72</v>
      </c>
      <c r="C10">
        <f t="shared" si="0"/>
        <v>1.1017957414425345E-2</v>
      </c>
    </row>
    <row r="11" spans="1:3" x14ac:dyDescent="0.3">
      <c r="A11" t="s">
        <v>54</v>
      </c>
      <c r="B11">
        <v>78</v>
      </c>
      <c r="C11">
        <f t="shared" si="0"/>
        <v>6.7847534091964234E-3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CE6A-0816-4895-8C8B-B1A5A02DEAF3}">
  <dimension ref="A1:G13"/>
  <sheetViews>
    <sheetView topLeftCell="A9" workbookViewId="0">
      <selection activeCell="C15" sqref="C15"/>
    </sheetView>
  </sheetViews>
  <sheetFormatPr defaultRowHeight="14.4" x14ac:dyDescent="0.3"/>
  <cols>
    <col min="2" max="2" width="24.21875" customWidth="1"/>
    <col min="5" max="5" width="23" customWidth="1"/>
    <col min="6" max="6" width="15.5546875" customWidth="1"/>
  </cols>
  <sheetData>
    <row r="1" spans="1:7" x14ac:dyDescent="0.3">
      <c r="A1" t="str">
        <f>_xlfn.UNICHAR(955)</f>
        <v>λ</v>
      </c>
      <c r="B1">
        <v>0.4</v>
      </c>
      <c r="D1" t="s">
        <v>59</v>
      </c>
      <c r="E1">
        <v>65</v>
      </c>
      <c r="F1" t="s">
        <v>61</v>
      </c>
      <c r="G1">
        <v>8</v>
      </c>
    </row>
    <row r="2" spans="1:7" x14ac:dyDescent="0.3">
      <c r="A2" t="s">
        <v>57</v>
      </c>
      <c r="B2" t="s">
        <v>58</v>
      </c>
      <c r="D2" t="s">
        <v>57</v>
      </c>
      <c r="E2" t="s">
        <v>60</v>
      </c>
    </row>
    <row r="3" spans="1:7" x14ac:dyDescent="0.3">
      <c r="A3">
        <v>0</v>
      </c>
      <c r="B3">
        <f>_xlfn.EXPON.DIST(A3,$B$1,TRUE)</f>
        <v>0</v>
      </c>
      <c r="D3">
        <v>40</v>
      </c>
      <c r="E3">
        <f>_xlfn.NORM.DIST(D3,$E$1,$G$1,TRUE)</f>
        <v>8.8902529910843192E-4</v>
      </c>
    </row>
    <row r="4" spans="1:7" x14ac:dyDescent="0.3">
      <c r="A4">
        <v>1</v>
      </c>
      <c r="B4">
        <f t="shared" ref="B4:B13" si="0">_xlfn.EXPON.DIST(A4,$B$1,TRUE)</f>
        <v>0.32967995396436073</v>
      </c>
      <c r="D4">
        <v>41</v>
      </c>
      <c r="E4">
        <f t="shared" ref="E4:E12" si="1">_xlfn.NORM.DIST(D4,$E$1,$G$1,TRUE)</f>
        <v>1.3498980316300933E-3</v>
      </c>
    </row>
    <row r="5" spans="1:7" x14ac:dyDescent="0.3">
      <c r="A5">
        <v>2</v>
      </c>
      <c r="B5">
        <f t="shared" si="0"/>
        <v>0.55067103588277844</v>
      </c>
      <c r="D5">
        <v>42</v>
      </c>
      <c r="E5">
        <f t="shared" si="1"/>
        <v>2.0201374899460013E-3</v>
      </c>
    </row>
    <row r="6" spans="1:7" x14ac:dyDescent="0.3">
      <c r="A6">
        <v>3</v>
      </c>
      <c r="B6">
        <f t="shared" si="0"/>
        <v>0.69880578808779803</v>
      </c>
      <c r="D6">
        <v>43</v>
      </c>
      <c r="E6">
        <f t="shared" si="1"/>
        <v>2.9797632350545551E-3</v>
      </c>
    </row>
    <row r="7" spans="1:7" x14ac:dyDescent="0.3">
      <c r="A7">
        <v>4</v>
      </c>
      <c r="B7">
        <f t="shared" si="0"/>
        <v>0.79810348200534464</v>
      </c>
      <c r="D7">
        <v>44</v>
      </c>
      <c r="E7">
        <f t="shared" si="1"/>
        <v>4.3324483630125558E-3</v>
      </c>
    </row>
    <row r="8" spans="1:7" x14ac:dyDescent="0.3">
      <c r="A8">
        <v>5</v>
      </c>
      <c r="B8">
        <f t="shared" si="0"/>
        <v>0.8646647167633873</v>
      </c>
      <c r="D8">
        <v>45</v>
      </c>
      <c r="E8">
        <f t="shared" si="1"/>
        <v>6.2096653257761331E-3</v>
      </c>
    </row>
    <row r="9" spans="1:7" x14ac:dyDescent="0.3">
      <c r="A9">
        <v>6</v>
      </c>
      <c r="B9">
        <f t="shared" si="0"/>
        <v>0.90928204671058754</v>
      </c>
      <c r="D9">
        <v>46</v>
      </c>
      <c r="E9">
        <f t="shared" si="1"/>
        <v>8.7744750957383603E-3</v>
      </c>
    </row>
    <row r="10" spans="1:7" x14ac:dyDescent="0.3">
      <c r="A10">
        <v>7</v>
      </c>
      <c r="B10">
        <f t="shared" si="0"/>
        <v>0.93918993737478207</v>
      </c>
      <c r="D10">
        <v>47</v>
      </c>
      <c r="E10">
        <f t="shared" si="1"/>
        <v>1.2224472655044696E-2</v>
      </c>
    </row>
    <row r="11" spans="1:7" x14ac:dyDescent="0.3">
      <c r="A11">
        <v>8</v>
      </c>
      <c r="B11">
        <f t="shared" si="0"/>
        <v>0.95923779602163384</v>
      </c>
      <c r="D11">
        <v>48</v>
      </c>
      <c r="E11">
        <f t="shared" si="1"/>
        <v>1.67933064484488E-2</v>
      </c>
    </row>
    <row r="12" spans="1:7" x14ac:dyDescent="0.3">
      <c r="A12">
        <v>9</v>
      </c>
      <c r="B12">
        <f t="shared" si="0"/>
        <v>0.97267627755270747</v>
      </c>
      <c r="D12">
        <v>49</v>
      </c>
      <c r="E12">
        <f t="shared" si="1"/>
        <v>2.2750131948179191E-2</v>
      </c>
    </row>
    <row r="13" spans="1:7" x14ac:dyDescent="0.3">
      <c r="A13">
        <v>10</v>
      </c>
      <c r="B13">
        <f t="shared" si="0"/>
        <v>0.98168436111126578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79E4-0E75-46DA-A8D9-44751704CE78}">
  <dimension ref="A1:H9"/>
  <sheetViews>
    <sheetView workbookViewId="0">
      <selection activeCell="B15" sqref="B15"/>
    </sheetView>
  </sheetViews>
  <sheetFormatPr defaultRowHeight="14.4" x14ac:dyDescent="0.3"/>
  <cols>
    <col min="2" max="2" width="18.21875" bestFit="1" customWidth="1"/>
    <col min="3" max="3" width="18.88671875" customWidth="1"/>
  </cols>
  <sheetData>
    <row r="1" spans="1:8" x14ac:dyDescent="0.3">
      <c r="A1" t="s">
        <v>62</v>
      </c>
      <c r="B1" t="s">
        <v>3</v>
      </c>
      <c r="C1" t="s">
        <v>29</v>
      </c>
      <c r="E1" t="s">
        <v>63</v>
      </c>
    </row>
    <row r="2" spans="1:8" x14ac:dyDescent="0.3">
      <c r="A2">
        <v>1</v>
      </c>
      <c r="B2">
        <f>_xlfn.BINOM.DIST(A2,$H$3,$H$4,FALSE)</f>
        <v>8.957952000000001E-2</v>
      </c>
      <c r="C2">
        <f>_xlfn.POISSON.DIST(A2,$H$5,FALSE)</f>
        <v>0.26812801841425571</v>
      </c>
      <c r="E2">
        <f>ABS(B2-C2)</f>
        <v>0.17854849841425569</v>
      </c>
    </row>
    <row r="3" spans="1:8" x14ac:dyDescent="0.3">
      <c r="A3">
        <v>2</v>
      </c>
      <c r="B3">
        <f t="shared" ref="B3:B9" si="0">_xlfn.BINOM.DIST(A3,$H$3,$H$4,FALSE)</f>
        <v>0.20901887999999993</v>
      </c>
      <c r="C3">
        <f t="shared" ref="C3:C9" si="1">_xlfn.POISSON.DIST(A3,$H$5,FALSE)</f>
        <v>5.3625603682851138E-2</v>
      </c>
      <c r="E3">
        <f t="shared" ref="E3:E9" si="2">ABS(B3-C3)</f>
        <v>0.1553932763171488</v>
      </c>
      <c r="G3" t="s">
        <v>64</v>
      </c>
      <c r="H3">
        <v>8</v>
      </c>
    </row>
    <row r="4" spans="1:8" x14ac:dyDescent="0.3">
      <c r="A4">
        <v>3</v>
      </c>
      <c r="B4">
        <f t="shared" si="0"/>
        <v>0.27869184000000002</v>
      </c>
      <c r="C4">
        <f t="shared" si="1"/>
        <v>7.1500804910468209E-3</v>
      </c>
      <c r="E4">
        <f t="shared" si="2"/>
        <v>0.27154175950895321</v>
      </c>
      <c r="G4" t="s">
        <v>65</v>
      </c>
      <c r="H4">
        <v>0.4</v>
      </c>
    </row>
    <row r="5" spans="1:8" x14ac:dyDescent="0.3">
      <c r="A5">
        <v>4</v>
      </c>
      <c r="B5">
        <f t="shared" si="0"/>
        <v>0.23224320000000001</v>
      </c>
      <c r="C5">
        <f t="shared" si="1"/>
        <v>7.1500804910468196E-4</v>
      </c>
      <c r="E5">
        <f t="shared" si="2"/>
        <v>0.23152819195089533</v>
      </c>
      <c r="G5" t="str">
        <f>_xlfn.UNICHAR(955)</f>
        <v>λ</v>
      </c>
      <c r="H5">
        <v>0.4</v>
      </c>
    </row>
    <row r="6" spans="1:8" x14ac:dyDescent="0.3">
      <c r="A6">
        <v>5</v>
      </c>
      <c r="B6">
        <f t="shared" si="0"/>
        <v>0.12386303999999998</v>
      </c>
      <c r="C6">
        <f t="shared" si="1"/>
        <v>5.7200643928374612E-5</v>
      </c>
      <c r="E6">
        <f t="shared" si="2"/>
        <v>0.1238058393560716</v>
      </c>
    </row>
    <row r="7" spans="1:8" x14ac:dyDescent="0.3">
      <c r="A7">
        <v>6</v>
      </c>
      <c r="B7">
        <f t="shared" si="0"/>
        <v>4.1287680000000021E-2</v>
      </c>
      <c r="C7">
        <f t="shared" si="1"/>
        <v>3.8133762618916389E-6</v>
      </c>
      <c r="E7">
        <f t="shared" si="2"/>
        <v>4.1283866623738126E-2</v>
      </c>
    </row>
    <row r="8" spans="1:8" x14ac:dyDescent="0.3">
      <c r="A8">
        <v>7</v>
      </c>
      <c r="B8">
        <f t="shared" si="0"/>
        <v>7.8643199999999958E-3</v>
      </c>
      <c r="C8">
        <f t="shared" si="1"/>
        <v>2.1790721496523687E-7</v>
      </c>
      <c r="E8">
        <f t="shared" si="2"/>
        <v>7.8641020927850309E-3</v>
      </c>
    </row>
    <row r="9" spans="1:8" x14ac:dyDescent="0.3">
      <c r="A9">
        <v>8</v>
      </c>
      <c r="B9">
        <f t="shared" si="0"/>
        <v>6.5536000000000034E-4</v>
      </c>
      <c r="C9">
        <f t="shared" si="1"/>
        <v>1.08953607482618E-8</v>
      </c>
      <c r="E9">
        <f t="shared" si="2"/>
        <v>6.5534910463925207E-4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B1C26-E90E-4C63-8EB0-6F4F160C6648}">
  <dimension ref="A1:B19"/>
  <sheetViews>
    <sheetView workbookViewId="0">
      <selection activeCell="A3" sqref="A3:B19"/>
    </sheetView>
  </sheetViews>
  <sheetFormatPr defaultRowHeight="14.4" x14ac:dyDescent="0.3"/>
  <cols>
    <col min="1" max="1" width="18.5546875" customWidth="1"/>
    <col min="2" max="2" width="27.44140625" customWidth="1"/>
  </cols>
  <sheetData>
    <row r="1" spans="1:2" x14ac:dyDescent="0.3">
      <c r="A1" t="s">
        <v>64</v>
      </c>
      <c r="B1">
        <v>15</v>
      </c>
    </row>
    <row r="2" spans="1:2" x14ac:dyDescent="0.3">
      <c r="A2" t="s">
        <v>65</v>
      </c>
      <c r="B2">
        <v>0.85</v>
      </c>
    </row>
    <row r="3" spans="1:2" x14ac:dyDescent="0.3">
      <c r="A3" t="s">
        <v>66</v>
      </c>
      <c r="B3" t="s">
        <v>67</v>
      </c>
    </row>
    <row r="4" spans="1:2" x14ac:dyDescent="0.3">
      <c r="A4">
        <v>0</v>
      </c>
      <c r="B4">
        <f>_xlfn.BINOM.DIST(A4,B$1,B$2,FALSE)</f>
        <v>4.3789389038086019E-13</v>
      </c>
    </row>
    <row r="5" spans="1:2" x14ac:dyDescent="0.3">
      <c r="A5">
        <v>1</v>
      </c>
      <c r="B5">
        <f t="shared" ref="B5:B19" si="0">_xlfn.BINOM.DIST(A5,B$1,B$2,FALSE)</f>
        <v>3.7220980682373171E-11</v>
      </c>
    </row>
    <row r="6" spans="1:2" x14ac:dyDescent="0.3">
      <c r="A6">
        <v>2</v>
      </c>
      <c r="B6">
        <f t="shared" si="0"/>
        <v>1.4764322337341338E-9</v>
      </c>
    </row>
    <row r="7" spans="1:2" x14ac:dyDescent="0.3">
      <c r="A7">
        <v>3</v>
      </c>
      <c r="B7">
        <f t="shared" si="0"/>
        <v>3.6254613739471583E-8</v>
      </c>
    </row>
    <row r="8" spans="1:2" x14ac:dyDescent="0.3">
      <c r="A8">
        <v>4</v>
      </c>
      <c r="B8">
        <f t="shared" si="0"/>
        <v>6.163284335710163E-7</v>
      </c>
    </row>
    <row r="9" spans="1:2" x14ac:dyDescent="0.3">
      <c r="A9">
        <v>5</v>
      </c>
      <c r="B9">
        <f t="shared" si="0"/>
        <v>7.6835611385186542E-6</v>
      </c>
    </row>
    <row r="10" spans="1:2" x14ac:dyDescent="0.3">
      <c r="A10">
        <v>6</v>
      </c>
      <c r="B10">
        <f t="shared" si="0"/>
        <v>7.25669663082319E-5</v>
      </c>
    </row>
    <row r="11" spans="1:2" x14ac:dyDescent="0.3">
      <c r="A11">
        <v>7</v>
      </c>
      <c r="B11">
        <f t="shared" si="0"/>
        <v>5.2870218310283122E-4</v>
      </c>
    </row>
    <row r="12" spans="1:2" x14ac:dyDescent="0.3">
      <c r="A12">
        <v>8</v>
      </c>
      <c r="B12">
        <f t="shared" si="0"/>
        <v>2.9959790375827097E-3</v>
      </c>
    </row>
    <row r="13" spans="1:2" x14ac:dyDescent="0.3">
      <c r="A13">
        <v>9</v>
      </c>
      <c r="B13">
        <f t="shared" si="0"/>
        <v>1.3204500202679359E-2</v>
      </c>
    </row>
    <row r="14" spans="1:2" x14ac:dyDescent="0.3">
      <c r="A14">
        <v>10</v>
      </c>
      <c r="B14">
        <f t="shared" si="0"/>
        <v>4.4895300689109796E-2</v>
      </c>
    </row>
    <row r="15" spans="1:2" x14ac:dyDescent="0.3">
      <c r="A15">
        <v>11</v>
      </c>
      <c r="B15">
        <f t="shared" si="0"/>
        <v>0.11563941086588875</v>
      </c>
    </row>
    <row r="16" spans="1:2" x14ac:dyDescent="0.3">
      <c r="A16">
        <v>12</v>
      </c>
      <c r="B16">
        <f t="shared" si="0"/>
        <v>0.21842999830223433</v>
      </c>
    </row>
    <row r="17" spans="1:2" x14ac:dyDescent="0.3">
      <c r="A17">
        <v>13</v>
      </c>
      <c r="B17">
        <f t="shared" si="0"/>
        <v>0.28563922854907564</v>
      </c>
    </row>
    <row r="18" spans="1:2" x14ac:dyDescent="0.3">
      <c r="A18">
        <v>14</v>
      </c>
      <c r="B18">
        <f t="shared" si="0"/>
        <v>0.23123175644448976</v>
      </c>
    </row>
    <row r="19" spans="1:2" x14ac:dyDescent="0.3">
      <c r="A19">
        <v>15</v>
      </c>
      <c r="B19">
        <f t="shared" si="0"/>
        <v>8.7354219101251684E-2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E417-E538-4C53-844F-DAB0662F6970}">
  <dimension ref="A1:B9"/>
  <sheetViews>
    <sheetView workbookViewId="0">
      <selection activeCell="D17" sqref="D17"/>
    </sheetView>
  </sheetViews>
  <sheetFormatPr defaultRowHeight="14.4" x14ac:dyDescent="0.3"/>
  <cols>
    <col min="1" max="1" width="13.88671875" customWidth="1"/>
    <col min="2" max="2" width="25.6640625" customWidth="1"/>
  </cols>
  <sheetData>
    <row r="1" spans="1:2" x14ac:dyDescent="0.3">
      <c r="A1" t="str">
        <f>_xlfn.UNICHAR(955)</f>
        <v>λ</v>
      </c>
      <c r="B1">
        <v>6</v>
      </c>
    </row>
    <row r="2" spans="1:2" x14ac:dyDescent="0.3">
      <c r="A2" t="s">
        <v>68</v>
      </c>
      <c r="B2" t="s">
        <v>69</v>
      </c>
    </row>
    <row r="3" spans="1:2" x14ac:dyDescent="0.3">
      <c r="A3">
        <v>0</v>
      </c>
      <c r="B3">
        <f>_xlfn.POISSON.DIST(A3,B$1,FALSE)</f>
        <v>2.4787521766663585E-3</v>
      </c>
    </row>
    <row r="4" spans="1:2" x14ac:dyDescent="0.3">
      <c r="A4">
        <v>2</v>
      </c>
      <c r="B4">
        <f t="shared" ref="B4:B9" si="0">_xlfn.POISSON.DIST(A4,B$1,FALSE)</f>
        <v>4.4617539179994462E-2</v>
      </c>
    </row>
    <row r="5" spans="1:2" x14ac:dyDescent="0.3">
      <c r="A5">
        <v>4</v>
      </c>
      <c r="B5">
        <f t="shared" si="0"/>
        <v>0.13385261753998337</v>
      </c>
    </row>
    <row r="6" spans="1:2" x14ac:dyDescent="0.3">
      <c r="A6">
        <v>6</v>
      </c>
      <c r="B6">
        <f t="shared" si="0"/>
        <v>0.16062314104798003</v>
      </c>
    </row>
    <row r="7" spans="1:2" x14ac:dyDescent="0.3">
      <c r="A7">
        <v>8</v>
      </c>
      <c r="B7">
        <f t="shared" si="0"/>
        <v>0.10325773353084432</v>
      </c>
    </row>
    <row r="8" spans="1:2" x14ac:dyDescent="0.3">
      <c r="A8">
        <v>10</v>
      </c>
      <c r="B8">
        <f t="shared" si="0"/>
        <v>4.1303093412337732E-2</v>
      </c>
    </row>
    <row r="9" spans="1:2" x14ac:dyDescent="0.3">
      <c r="A9">
        <v>12</v>
      </c>
      <c r="B9">
        <f t="shared" si="0"/>
        <v>1.1264480021546661E-2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62C8-CF3F-4220-979F-2A4BA2DD76B8}">
  <dimension ref="A1:C28"/>
  <sheetViews>
    <sheetView topLeftCell="A4" workbookViewId="0">
      <selection activeCell="B3" sqref="B3:C28"/>
    </sheetView>
  </sheetViews>
  <sheetFormatPr defaultRowHeight="14.4" x14ac:dyDescent="0.3"/>
  <cols>
    <col min="1" max="1" width="16.109375" customWidth="1"/>
    <col min="2" max="2" width="15" customWidth="1"/>
    <col min="3" max="3" width="20.6640625" customWidth="1"/>
  </cols>
  <sheetData>
    <row r="1" spans="1:3" x14ac:dyDescent="0.3">
      <c r="A1" t="str">
        <f>_xlfn.UNICHAR(956)</f>
        <v>μ</v>
      </c>
      <c r="B1">
        <v>3.5</v>
      </c>
    </row>
    <row r="2" spans="1:3" x14ac:dyDescent="0.3">
      <c r="A2" t="str">
        <f>_xlfn.UNICHAR(963)</f>
        <v>σ</v>
      </c>
      <c r="B2">
        <v>0.15</v>
      </c>
    </row>
    <row r="3" spans="1:3" x14ac:dyDescent="0.3">
      <c r="A3" t="s">
        <v>70</v>
      </c>
      <c r="B3" t="s">
        <v>71</v>
      </c>
      <c r="C3" t="s">
        <v>72</v>
      </c>
    </row>
    <row r="4" spans="1:3" x14ac:dyDescent="0.3">
      <c r="A4" t="s">
        <v>73</v>
      </c>
      <c r="B4">
        <v>3.1</v>
      </c>
      <c r="C4">
        <f>_xlfn.NORM.DIST(B4,B$1,B$2,FALSE)</f>
        <v>7.5973240158649716E-2</v>
      </c>
    </row>
    <row r="5" spans="1:3" x14ac:dyDescent="0.3">
      <c r="A5" t="s">
        <v>74</v>
      </c>
      <c r="B5">
        <v>3.14</v>
      </c>
      <c r="C5">
        <f t="shared" ref="C5:C27" si="0">_xlfn.NORM.DIST(B5,B$1,B$2,FALSE)</f>
        <v>0.14929686863228619</v>
      </c>
    </row>
    <row r="6" spans="1:3" x14ac:dyDescent="0.3">
      <c r="A6" t="s">
        <v>75</v>
      </c>
      <c r="B6">
        <v>3.17</v>
      </c>
      <c r="C6">
        <f t="shared" si="0"/>
        <v>0.23649728564154263</v>
      </c>
    </row>
    <row r="7" spans="1:3" x14ac:dyDescent="0.3">
      <c r="A7" t="s">
        <v>76</v>
      </c>
      <c r="B7">
        <v>3.21</v>
      </c>
      <c r="C7">
        <f t="shared" si="0"/>
        <v>0.41036534232898164</v>
      </c>
    </row>
    <row r="8" spans="1:3" x14ac:dyDescent="0.3">
      <c r="A8" t="s">
        <v>77</v>
      </c>
      <c r="B8">
        <v>3.24</v>
      </c>
      <c r="C8">
        <f t="shared" si="0"/>
        <v>0.59212307393728048</v>
      </c>
    </row>
    <row r="9" spans="1:3" x14ac:dyDescent="0.3">
      <c r="A9" t="s">
        <v>78</v>
      </c>
      <c r="B9">
        <v>3.28</v>
      </c>
      <c r="C9">
        <f t="shared" si="0"/>
        <v>0.90721654941518526</v>
      </c>
    </row>
    <row r="10" spans="1:3" x14ac:dyDescent="0.3">
      <c r="A10" t="s">
        <v>79</v>
      </c>
      <c r="B10">
        <v>3.31</v>
      </c>
      <c r="C10">
        <f t="shared" si="0"/>
        <v>1.1923894432969375</v>
      </c>
    </row>
    <row r="11" spans="1:3" x14ac:dyDescent="0.3">
      <c r="A11" t="s">
        <v>80</v>
      </c>
      <c r="B11">
        <v>3.35</v>
      </c>
      <c r="C11">
        <f t="shared" si="0"/>
        <v>1.6131381634609565</v>
      </c>
    </row>
    <row r="12" spans="1:3" x14ac:dyDescent="0.3">
      <c r="A12" t="s">
        <v>81</v>
      </c>
      <c r="B12">
        <v>3.38</v>
      </c>
      <c r="C12">
        <f t="shared" si="0"/>
        <v>1.931277018409884</v>
      </c>
    </row>
    <row r="13" spans="1:3" x14ac:dyDescent="0.3">
      <c r="A13" t="s">
        <v>82</v>
      </c>
      <c r="B13">
        <v>3.42</v>
      </c>
      <c r="C13">
        <f t="shared" si="0"/>
        <v>2.3070259545128189</v>
      </c>
    </row>
    <row r="14" spans="1:3" x14ac:dyDescent="0.3">
      <c r="A14" t="s">
        <v>83</v>
      </c>
      <c r="B14">
        <v>3.45</v>
      </c>
      <c r="C14">
        <f t="shared" si="0"/>
        <v>2.5158881846199557</v>
      </c>
    </row>
    <row r="15" spans="1:3" x14ac:dyDescent="0.3">
      <c r="A15" t="s">
        <v>84</v>
      </c>
      <c r="B15">
        <v>3.49</v>
      </c>
      <c r="C15">
        <f t="shared" si="0"/>
        <v>2.6537115087596819</v>
      </c>
    </row>
    <row r="16" spans="1:3" x14ac:dyDescent="0.3">
      <c r="A16" t="s">
        <v>85</v>
      </c>
      <c r="B16">
        <v>3.5</v>
      </c>
      <c r="C16">
        <f t="shared" si="0"/>
        <v>2.6596152026762181</v>
      </c>
    </row>
    <row r="17" spans="1:3" x14ac:dyDescent="0.3">
      <c r="A17" t="s">
        <v>86</v>
      </c>
      <c r="B17">
        <v>3.51</v>
      </c>
      <c r="C17">
        <f t="shared" si="0"/>
        <v>2.6537115087596819</v>
      </c>
    </row>
    <row r="18" spans="1:3" x14ac:dyDescent="0.3">
      <c r="A18" t="s">
        <v>87</v>
      </c>
      <c r="B18">
        <v>3.55</v>
      </c>
      <c r="C18">
        <f t="shared" si="0"/>
        <v>2.5158881846199557</v>
      </c>
    </row>
    <row r="19" spans="1:3" x14ac:dyDescent="0.3">
      <c r="A19" t="s">
        <v>88</v>
      </c>
      <c r="B19">
        <v>3.58</v>
      </c>
      <c r="C19">
        <f t="shared" si="0"/>
        <v>2.3070259545128189</v>
      </c>
    </row>
    <row r="20" spans="1:3" x14ac:dyDescent="0.3">
      <c r="A20" t="s">
        <v>89</v>
      </c>
      <c r="B20">
        <v>3.62</v>
      </c>
      <c r="C20">
        <f t="shared" si="0"/>
        <v>1.931277018409884</v>
      </c>
    </row>
    <row r="21" spans="1:3" x14ac:dyDescent="0.3">
      <c r="A21" t="s">
        <v>90</v>
      </c>
      <c r="B21">
        <v>3.65</v>
      </c>
      <c r="C21">
        <f t="shared" si="0"/>
        <v>1.6131381634609565</v>
      </c>
    </row>
    <row r="22" spans="1:3" x14ac:dyDescent="0.3">
      <c r="A22" t="s">
        <v>91</v>
      </c>
      <c r="B22">
        <v>3.69</v>
      </c>
      <c r="C22">
        <f t="shared" si="0"/>
        <v>1.1923894432969375</v>
      </c>
    </row>
    <row r="23" spans="1:3" x14ac:dyDescent="0.3">
      <c r="A23" t="s">
        <v>92</v>
      </c>
      <c r="B23">
        <v>3.72</v>
      </c>
      <c r="C23">
        <f t="shared" si="0"/>
        <v>0.90721654941518526</v>
      </c>
    </row>
    <row r="24" spans="1:3" x14ac:dyDescent="0.3">
      <c r="A24" t="s">
        <v>93</v>
      </c>
      <c r="B24">
        <v>3.76</v>
      </c>
      <c r="C24">
        <f t="shared" si="0"/>
        <v>0.59212307393728048</v>
      </c>
    </row>
    <row r="25" spans="1:3" x14ac:dyDescent="0.3">
      <c r="A25" t="s">
        <v>94</v>
      </c>
      <c r="B25">
        <v>3.79</v>
      </c>
      <c r="C25">
        <f t="shared" si="0"/>
        <v>0.41036534232898164</v>
      </c>
    </row>
    <row r="26" spans="1:3" x14ac:dyDescent="0.3">
      <c r="A26" t="s">
        <v>95</v>
      </c>
      <c r="B26">
        <v>3.83</v>
      </c>
      <c r="C26">
        <f t="shared" si="0"/>
        <v>0.23649728564154263</v>
      </c>
    </row>
    <row r="27" spans="1:3" x14ac:dyDescent="0.3">
      <c r="A27" t="s">
        <v>96</v>
      </c>
      <c r="B27">
        <v>3.86</v>
      </c>
      <c r="C27">
        <f t="shared" si="0"/>
        <v>0.14929686863228619</v>
      </c>
    </row>
    <row r="28" spans="1:3" x14ac:dyDescent="0.3">
      <c r="A28" t="s">
        <v>97</v>
      </c>
      <c r="B28">
        <v>3.9</v>
      </c>
      <c r="C28">
        <f>_xlfn.NORM.DIST(B28,B$1,B$2,FALSE)</f>
        <v>7.5973240158649716E-2</v>
      </c>
    </row>
  </sheetData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C52A-2A19-4B3F-8961-ACCD5CC7272A}">
  <dimension ref="A1:E9"/>
  <sheetViews>
    <sheetView tabSelected="1" workbookViewId="0">
      <selection activeCell="D19" sqref="D19"/>
    </sheetView>
  </sheetViews>
  <sheetFormatPr defaultRowHeight="14.4" x14ac:dyDescent="0.3"/>
  <cols>
    <col min="2" max="2" width="14.109375" customWidth="1"/>
    <col min="3" max="3" width="12" customWidth="1"/>
    <col min="5" max="5" width="11.21875" customWidth="1"/>
  </cols>
  <sheetData>
    <row r="1" spans="1:5" x14ac:dyDescent="0.3">
      <c r="A1" t="s">
        <v>98</v>
      </c>
      <c r="B1" t="s">
        <v>107</v>
      </c>
      <c r="C1" t="s">
        <v>108</v>
      </c>
      <c r="E1" t="s">
        <v>109</v>
      </c>
    </row>
    <row r="2" spans="1:5" x14ac:dyDescent="0.3">
      <c r="A2" t="s">
        <v>99</v>
      </c>
      <c r="B2">
        <v>12</v>
      </c>
      <c r="C2">
        <v>24</v>
      </c>
      <c r="E2">
        <f>_xlfn.COVARIANCE.S(B2:B9,C2:C9)</f>
        <v>108.42857142857143</v>
      </c>
    </row>
    <row r="3" spans="1:5" x14ac:dyDescent="0.3">
      <c r="A3" t="s">
        <v>100</v>
      </c>
      <c r="B3">
        <v>15</v>
      </c>
      <c r="C3">
        <v>30</v>
      </c>
    </row>
    <row r="4" spans="1:5" x14ac:dyDescent="0.3">
      <c r="A4" t="s">
        <v>101</v>
      </c>
      <c r="B4">
        <v>10</v>
      </c>
      <c r="C4">
        <v>18</v>
      </c>
    </row>
    <row r="5" spans="1:5" x14ac:dyDescent="0.3">
      <c r="A5" t="s">
        <v>102</v>
      </c>
      <c r="B5">
        <v>22</v>
      </c>
      <c r="C5">
        <v>45</v>
      </c>
    </row>
    <row r="6" spans="1:5" x14ac:dyDescent="0.3">
      <c r="A6" t="s">
        <v>103</v>
      </c>
      <c r="B6">
        <v>18</v>
      </c>
      <c r="C6">
        <v>38</v>
      </c>
    </row>
    <row r="7" spans="1:5" x14ac:dyDescent="0.3">
      <c r="A7" t="s">
        <v>104</v>
      </c>
      <c r="B7">
        <v>25</v>
      </c>
      <c r="C7">
        <v>52</v>
      </c>
    </row>
    <row r="8" spans="1:5" x14ac:dyDescent="0.3">
      <c r="A8" t="s">
        <v>105</v>
      </c>
      <c r="B8">
        <v>30</v>
      </c>
      <c r="C8">
        <v>65</v>
      </c>
    </row>
    <row r="9" spans="1:5" x14ac:dyDescent="0.3">
      <c r="A9" t="s">
        <v>106</v>
      </c>
      <c r="B9">
        <v>14</v>
      </c>
      <c r="C9">
        <v>28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practical 1</vt:lpstr>
      <vt:lpstr>practical2</vt:lpstr>
      <vt:lpstr>practical3</vt:lpstr>
      <vt:lpstr>practical4</vt:lpstr>
      <vt:lpstr>Practical5</vt:lpstr>
      <vt:lpstr>practical6</vt:lpstr>
      <vt:lpstr>practical7</vt:lpstr>
      <vt:lpstr>practical8</vt:lpstr>
      <vt:lpstr>practical9</vt:lpstr>
      <vt:lpstr>practical10</vt:lpstr>
      <vt:lpstr>practical11</vt:lpstr>
      <vt:lpstr>practical12</vt:lpstr>
      <vt:lpstr>practical13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Jha</dc:creator>
  <cp:lastModifiedBy>Aditya Jha</cp:lastModifiedBy>
  <dcterms:created xsi:type="dcterms:W3CDTF">2026-04-29T11:26:26Z</dcterms:created>
  <dcterms:modified xsi:type="dcterms:W3CDTF">2026-04-30T02:19:00Z</dcterms:modified>
</cp:coreProperties>
</file>