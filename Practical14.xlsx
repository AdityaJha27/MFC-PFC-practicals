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66732B30-EB33-423F-A714-A79AA004E243}" xr6:coauthVersionLast="47" xr6:coauthVersionMax="47" xr10:uidLastSave="{00000000-0000-0000-0000-000000000000}"/>
  <bookViews>
    <workbookView xWindow="11424" yWindow="0" windowWidth="11712" windowHeight="12336" firstSheet="11" activeTab="13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  <sheet name="practical9" sheetId="9" r:id="rId9"/>
    <sheet name="practical10" sheetId="10" r:id="rId10"/>
    <sheet name="practical11" sheetId="11" r:id="rId11"/>
    <sheet name="practical12" sheetId="12" r:id="rId12"/>
    <sheet name="practical13" sheetId="13" r:id="rId13"/>
    <sheet name="practical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4" l="1"/>
  <c r="C9" i="14"/>
  <c r="C8" i="14"/>
  <c r="E2" i="13"/>
  <c r="C28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4" i="12"/>
  <c r="A2" i="12"/>
  <c r="A1" i="12"/>
  <c r="B4" i="11"/>
  <c r="B5" i="11"/>
  <c r="B6" i="11"/>
  <c r="B7" i="11"/>
  <c r="B8" i="11"/>
  <c r="B9" i="11"/>
  <c r="B3" i="11"/>
  <c r="A1" i="11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4" i="10"/>
  <c r="E3" i="9"/>
  <c r="E4" i="9"/>
  <c r="E5" i="9"/>
  <c r="E6" i="9"/>
  <c r="E7" i="9"/>
  <c r="E8" i="9"/>
  <c r="E9" i="9"/>
  <c r="E2" i="9"/>
  <c r="C3" i="9"/>
  <c r="C4" i="9"/>
  <c r="C5" i="9"/>
  <c r="C6" i="9"/>
  <c r="C7" i="9"/>
  <c r="C8" i="9"/>
  <c r="C9" i="9"/>
  <c r="C2" i="9"/>
  <c r="B3" i="9"/>
  <c r="B4" i="9"/>
  <c r="B5" i="9"/>
  <c r="B6" i="9"/>
  <c r="B7" i="9"/>
  <c r="B8" i="9"/>
  <c r="B9" i="9"/>
  <c r="B2" i="9"/>
  <c r="G5" i="9"/>
  <c r="E4" i="8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<sst xmlns="http://schemas.openxmlformats.org/spreadsheetml/2006/main" count="126" uniqueCount="117">
  <si>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</si>
  <si>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</si>
  <si>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</si>
  <si>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</si>
  <si>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</si>
  <si>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</si>
  <si>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</si>
  <si>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</si>
  <si>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</si>
  <si>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</si>
  <si>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</si>
  <si>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</si>
  <si>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</si>
  <si>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</si>
  <si>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</si>
  <si>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</si>
  <si>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</si>
  <si>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</si>
  <si>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</si>
  <si>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</si>
  <si>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</si>
  <si>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</si>
  <si>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</si>
  <si>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</si>
  <si>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</si>
  <si>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</si>
  <si>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</si>
  <si>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</si>
  <si>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</si>
  <si>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</si>
  <si>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</si>
  <si>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</si>
  <si>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</si>
  <si>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</si>
  <si>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</si>
  <si>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</si>
  <si>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</si>
  <si>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</si>
  <si>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</si>
  <si>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</si>
  <si>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</si>
  <si>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</si>
  <si>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</si>
  <si>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</si>
  <si>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</si>
  <si>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</si>
  <si>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</si>
  <si>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</si>
  <si>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</si>
  <si>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</si>
  <si>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</si>
  <si>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</si>
  <si>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</si>
  <si>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</si>
  <si>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</si>
  <si>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</si>
  <si>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</si>
  <si>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</si>
  <si>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</si>
  <si>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</si>
  <si>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</si>
  <si>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</si>
  <si>
    <t>Trial</t>
  </si>
  <si>
    <t>Distance</t>
  </si>
  <si>
    <t>n</t>
  </si>
  <si>
    <t>p</t>
  </si>
  <si>
    <t>k(No. of Successes)</t>
  </si>
  <si>
    <t>Binomial Distribution Probability</t>
  </si>
  <si>
    <t>k(Comments)</t>
  </si>
  <si>
    <t>Poisson Distribution Probability</t>
  </si>
  <si>
    <t>Processor ID</t>
  </si>
  <si>
    <t>Clock Speed(X)</t>
  </si>
  <si>
    <t>Normal Distribution(PDF)</t>
  </si>
  <si>
    <t>Chip1</t>
  </si>
  <si>
    <t>Chip2</t>
  </si>
  <si>
    <t>Chip3</t>
  </si>
  <si>
    <t>Chip4</t>
  </si>
  <si>
    <t>Chip5</t>
  </si>
  <si>
    <t>Chip6</t>
  </si>
  <si>
    <t>Chip7</t>
  </si>
  <si>
    <t>Chip8</t>
  </si>
  <si>
    <t>Chip9</t>
  </si>
  <si>
    <t>Chip10</t>
  </si>
  <si>
    <t>Chip11</t>
  </si>
  <si>
    <t>Chip12</t>
  </si>
  <si>
    <t>Chip13</t>
  </si>
  <si>
    <t>Chip14</t>
  </si>
  <si>
    <t>Chip15</t>
  </si>
  <si>
    <t>Chip16</t>
  </si>
  <si>
    <t>Chip17</t>
  </si>
  <si>
    <t>Chip18</t>
  </si>
  <si>
    <t>Chip19</t>
  </si>
  <si>
    <t>Chip20</t>
  </si>
  <si>
    <t>Chip21</t>
  </si>
  <si>
    <t>Chip22</t>
  </si>
  <si>
    <t>Chip23</t>
  </si>
  <si>
    <t>Chip24</t>
  </si>
  <si>
    <t>Chip25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</si>
  <si>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</si>
  <si>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</si>
  <si>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</si>
  <si>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</si>
  <si>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</si>
  <si>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</si>
  <si>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</si>
  <si>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</si>
  <si>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</si>
  <si>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Ad Spend(X)</t>
  </si>
  <si>
    <t>New Users(Y)</t>
  </si>
  <si>
    <t>Covariance</t>
  </si>
  <si>
    <t>Y1</t>
  </si>
  <si>
    <t>Y2</t>
  </si>
  <si>
    <t>Y3</t>
  </si>
  <si>
    <t>Karl Pearsons correlation</t>
  </si>
  <si>
    <t>XY1</t>
  </si>
  <si>
    <t>XY2</t>
  </si>
  <si>
    <t>XY3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</si>
</sst>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practical10!$B$3</c:f>
              <c:strCache>
                <c:ptCount val="1"/>
                <c:pt idx="0">
                  <c:v>Binomial Distribution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practical10!$A$4:$A$19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practical10!$B$4:$B$19</c:f>
              <c:numCache>
                <c:formatCode>General</c:formatCode>
                <c:ptCount val="16"/>
                <c:pt idx="0">
                  <c:v>4.3789389038086019E-13</c:v>
                </c:pt>
                <c:pt idx="1">
                  <c:v>3.7220980682373171E-11</c:v>
                </c:pt>
                <c:pt idx="2">
                  <c:v>1.4764322337341338E-9</c:v>
                </c:pt>
                <c:pt idx="3">
                  <c:v>3.6254613739471583E-8</c:v>
                </c:pt>
                <c:pt idx="4">
                  <c:v>6.163284335710163E-7</c:v>
                </c:pt>
                <c:pt idx="5">
                  <c:v>7.6835611385186542E-6</c:v>
                </c:pt>
                <c:pt idx="6">
                  <c:v>7.25669663082319E-5</c:v>
                </c:pt>
                <c:pt idx="7">
                  <c:v>5.2870218310283122E-4</c:v>
                </c:pt>
                <c:pt idx="8">
                  <c:v>2.9959790375827097E-3</c:v>
                </c:pt>
                <c:pt idx="9">
                  <c:v>1.3204500202679359E-2</c:v>
                </c:pt>
                <c:pt idx="10">
                  <c:v>4.4895300689109796E-2</c:v>
                </c:pt>
                <c:pt idx="11">
                  <c:v>0.11563941086588875</c:v>
                </c:pt>
                <c:pt idx="12">
                  <c:v>0.21842999830223433</c:v>
                </c:pt>
                <c:pt idx="13">
                  <c:v>0.28563922854907564</c:v>
                </c:pt>
                <c:pt idx="14">
                  <c:v>0.23123175644448976</c:v>
                </c:pt>
                <c:pt idx="15">
                  <c:v>8.7354219101251684E-2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DC1-8BD7-08C333B2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798351"/>
        <c:axId val="1823799311"/>
      </c:barChart>
      <c:catAx>
        <c:axId val="18237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9311"/>
        <c:crosses val="autoZero"/>
        <c:auto val="1"/>
        <c:lblAlgn val="ctr"/>
        <c:lblOffset val="100"/>
        <c:noMultiLvlLbl val="0"/>
      </c:catAx>
      <c:valAx>
        <c:axId val="18237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practical11!$B$2</c:f>
              <c:strCache>
                <c:ptCount val="1"/>
                <c:pt idx="0">
                  <c:v>Poisson Distribution 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practical11!$A$3:$A$9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practical11!$B$3:$B$9</c:f>
              <c:numCache>
                <c:formatCode>General</c:formatCode>
                <c:ptCount val="7"/>
                <c:pt idx="0">
                  <c:v>2.4787521766663585E-3</c:v>
                </c:pt>
                <c:pt idx="1">
                  <c:v>4.4617539179994462E-2</c:v>
                </c:pt>
                <c:pt idx="2">
                  <c:v>0.13385261753998337</c:v>
                </c:pt>
                <c:pt idx="3">
                  <c:v>0.16062314104798003</c:v>
                </c:pt>
                <c:pt idx="4">
                  <c:v>0.10325773353084432</c:v>
                </c:pt>
                <c:pt idx="5">
                  <c:v>4.1303093412337732E-2</c:v>
                </c:pt>
                <c:pt idx="6">
                  <c:v>1.1264480021546661E-2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9-4C52-8A44-C149B1E0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91263"/>
        <c:axId val="1819383583"/>
      </c:scatterChart>
      <c:valAx>
        <c:axId val="181939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3583"/>
        <c:crosses val="autoZero"/>
        <c:crossBetween val="midCat"/>
      </c:valAx>
      <c:valAx>
        <c:axId val="18193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practical12!$C$3</c:f>
              <c:strCache>
                <c:ptCount val="1"/>
                <c:pt idx="0">
                  <c:v>Normal Distribution(PDF)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practical12!$B$4:$B$28</c:f>
              <c:numCache>
                <c:formatCode>General</c:formatCode>
                <c:ptCount val="25"/>
                <c:pt idx="0">
                  <c:v>3.1</c:v>
                </c:pt>
                <c:pt idx="1">
                  <c:v>3.14</c:v>
                </c:pt>
                <c:pt idx="2">
                  <c:v>3.17</c:v>
                </c:pt>
                <c:pt idx="3">
                  <c:v>3.21</c:v>
                </c:pt>
                <c:pt idx="4">
                  <c:v>3.24</c:v>
                </c:pt>
                <c:pt idx="5">
                  <c:v>3.28</c:v>
                </c:pt>
                <c:pt idx="6">
                  <c:v>3.31</c:v>
                </c:pt>
                <c:pt idx="7">
                  <c:v>3.35</c:v>
                </c:pt>
                <c:pt idx="8">
                  <c:v>3.38</c:v>
                </c:pt>
                <c:pt idx="9">
                  <c:v>3.42</c:v>
                </c:pt>
                <c:pt idx="10">
                  <c:v>3.45</c:v>
                </c:pt>
                <c:pt idx="11">
                  <c:v>3.49</c:v>
                </c:pt>
                <c:pt idx="12">
                  <c:v>3.5</c:v>
                </c:pt>
                <c:pt idx="13">
                  <c:v>3.51</c:v>
                </c:pt>
                <c:pt idx="14">
                  <c:v>3.55</c:v>
                </c:pt>
                <c:pt idx="15">
                  <c:v>3.58</c:v>
                </c:pt>
                <c:pt idx="16">
                  <c:v>3.62</c:v>
                </c:pt>
                <c:pt idx="17">
                  <c:v>3.65</c:v>
                </c:pt>
                <c:pt idx="18">
                  <c:v>3.69</c:v>
                </c:pt>
                <c:pt idx="19">
                  <c:v>3.72</c:v>
                </c:pt>
                <c:pt idx="20">
                  <c:v>3.76</c:v>
                </c:pt>
                <c:pt idx="21">
                  <c:v>3.79</c:v>
                </c:pt>
                <c:pt idx="22">
                  <c:v>3.83</c:v>
                </c:pt>
                <c:pt idx="23">
                  <c:v>3.86</c:v>
                </c:pt>
                <c:pt idx="24">
                  <c:v>3.9</c:v>
                </c:pt>
              </c:numCache>
            </c:numRef>
          </c:xVal>
          <c:yVal>
            <c:numRef>
              <c:f>practical12!$C$4:$C$28</c:f>
              <c:numCache>
                <c:formatCode>General</c:formatCode>
                <c:ptCount val="25"/>
                <c:pt idx="0">
                  <c:v>7.5973240158649716E-2</c:v>
                </c:pt>
                <c:pt idx="1">
                  <c:v>0.14929686863228619</c:v>
                </c:pt>
                <c:pt idx="2">
                  <c:v>0.23649728564154263</c:v>
                </c:pt>
                <c:pt idx="3">
                  <c:v>0.41036534232898164</c:v>
                </c:pt>
                <c:pt idx="4">
                  <c:v>0.59212307393728048</c:v>
                </c:pt>
                <c:pt idx="5">
                  <c:v>0.90721654941518526</c:v>
                </c:pt>
                <c:pt idx="6">
                  <c:v>1.1923894432969375</c:v>
                </c:pt>
                <c:pt idx="7">
                  <c:v>1.6131381634609565</c:v>
                </c:pt>
                <c:pt idx="8">
                  <c:v>1.931277018409884</c:v>
                </c:pt>
                <c:pt idx="9">
                  <c:v>2.3070259545128189</c:v>
                </c:pt>
                <c:pt idx="10">
                  <c:v>2.5158881846199557</c:v>
                </c:pt>
                <c:pt idx="11">
                  <c:v>2.6537115087596819</c:v>
                </c:pt>
                <c:pt idx="12">
                  <c:v>2.6596152026762181</c:v>
                </c:pt>
                <c:pt idx="13">
                  <c:v>2.6537115087596819</c:v>
                </c:pt>
                <c:pt idx="14">
                  <c:v>2.5158881846199557</c:v>
                </c:pt>
                <c:pt idx="15">
                  <c:v>2.3070259545128189</c:v>
                </c:pt>
                <c:pt idx="16">
                  <c:v>1.931277018409884</c:v>
                </c:pt>
                <c:pt idx="17">
                  <c:v>1.6131381634609565</c:v>
                </c:pt>
                <c:pt idx="18">
                  <c:v>1.1923894432969375</c:v>
                </c:pt>
                <c:pt idx="19">
                  <c:v>0.90721654941518526</c:v>
                </c:pt>
                <c:pt idx="20">
                  <c:v>0.59212307393728048</c:v>
                </c:pt>
                <c:pt idx="21">
                  <c:v>0.41036534232898164</c:v>
                </c:pt>
                <c:pt idx="22">
                  <c:v>0.23649728564154263</c:v>
                </c:pt>
                <c:pt idx="23">
                  <c:v>0.14929686863228619</c:v>
                </c:pt>
                <c:pt idx="24">
                  <c:v>7.5973240158649716E-2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2-4270-AF50-C3543D841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50463"/>
        <c:axId val="1819350943"/>
      </c:scatterChart>
      <c:valAx>
        <c:axId val="181935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943"/>
        <c:crosses val="autoZero"/>
        <c:crossBetween val="midCat"/>
      </c:valAx>
      <c:valAx>
        <c:axId val="18193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practical13!$C$1</c:f>
              <c:strCache>
                <c:ptCount val="1"/>
                <c:pt idx="0">
                  <c:v>New Users(Y)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practical13!$B$2:$B$9</c:f>
              <c:numCache>
                <c:formatCode>General</c:formatCode>
                <c:ptCount val="8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22</c:v>
                </c:pt>
                <c:pt idx="4">
                  <c:v>18</c:v>
                </c:pt>
                <c:pt idx="5">
                  <c:v>25</c:v>
                </c:pt>
                <c:pt idx="6">
                  <c:v>30</c:v>
                </c:pt>
                <c:pt idx="7">
                  <c:v>14</c:v>
                </c:pt>
              </c:numCache>
            </c:numRef>
          </c:xVal>
          <c:yVal>
            <c:numRef>
              <c:f>practical13!$C$2:$C$9</c:f>
              <c:numCache>
                <c:formatCode>General</c:formatCode>
                <c:ptCount val="8"/>
                <c:pt idx="0">
                  <c:v>24</c:v>
                </c:pt>
                <c:pt idx="1">
                  <c:v>30</c:v>
                </c:pt>
                <c:pt idx="2">
                  <c:v>18</c:v>
                </c:pt>
                <c:pt idx="3">
                  <c:v>45</c:v>
                </c:pt>
                <c:pt idx="4">
                  <c:v>38</c:v>
                </c:pt>
                <c:pt idx="5">
                  <c:v>52</c:v>
                </c:pt>
                <c:pt idx="6">
                  <c:v>65</c:v>
                </c:pt>
                <c:pt idx="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F-4AF2-AE14-3162A33C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72431"/>
        <c:axId val="1823793551"/>
      </c:scatterChart>
      <c:valAx>
        <c:axId val="182377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93551"/>
        <c:crosses val="autoZero"/>
        <c:crossBetween val="midCat"/>
      </c:valAx>
      <c:valAx>
        <c:axId val="18237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0</xdr:rowOff>
    </xdr:from>
    <xdr:to>
      <xdr:col>9</xdr:col>
      <xdr:colOff>403860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3425D-BBFB-33E1-B182-30445A6C4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34290</xdr:rowOff>
    </xdr:from>
    <xdr:to>
      <xdr:col>9</xdr:col>
      <xdr:colOff>541020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F2CAC-6F5E-3533-FB5F-07A730A2A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4</xdr:row>
      <xdr:rowOff>26670</xdr:rowOff>
    </xdr:from>
    <xdr:to>
      <xdr:col>10</xdr:col>
      <xdr:colOff>472440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FAEDF4-B27C-BC70-40EC-EAA6EB8BF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4</xdr:row>
      <xdr:rowOff>87630</xdr:rowOff>
    </xdr:from>
    <xdr:to>
      <xdr:col>11</xdr:col>
      <xdr:colOff>251460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09B96-9895-1DF2-E090-2ABB69EDF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opLeftCell="A9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9E4-0E75-46DA-A8D9-44751704CE78}">
  <dimension ref="A1:H9"/>
  <sheetViews>
    <sheetView workbookViewId="0">
      <selection activeCell="B15" sqref="B15"/>
    </sheetView>
  </sheetViews>
  <sheetFormatPr defaultRowHeight="14.4" x14ac:dyDescent="0.3"/>
  <cols>
    <col min="2" max="2" width="18.21875" bestFit="1" customWidth="1"/>
    <col min="3" max="3" width="18.88671875" customWidth="1"/>
  </cols>
  <sheetData>
    <row r="1" spans="1:8" x14ac:dyDescent="0.3">
      <c r="A1" t="s">
        <v>62</v>
      </c>
      <c r="B1" t="s">
        <v>3</v>
      </c>
      <c r="C1" t="s">
        <v>29</v>
      </c>
      <c r="E1" t="s">
        <v>63</v>
      </c>
    </row>
    <row r="2" spans="1:8" x14ac:dyDescent="0.3">
      <c r="A2">
        <v>1</v>
      </c>
      <c r="B2">
        <f>_xlfn.BINOM.DIST(A2,$H$3,$H$4,FALSE)</f>
        <v>8.957952000000001E-2</v>
      </c>
      <c r="C2">
        <f>_xlfn.POISSON.DIST(A2,$H$5,FALSE)</f>
        <v>0.26812801841425571</v>
      </c>
      <c r="E2">
        <f>ABS(B2-C2)</f>
        <v>0.17854849841425569</v>
      </c>
    </row>
    <row r="3" spans="1:8" x14ac:dyDescent="0.3">
      <c r="A3">
        <v>2</v>
      </c>
      <c r="B3">
        <f t="shared" ref="B3:B9" si="0">_xlfn.BINOM.DIST(A3,$H$3,$H$4,FALSE)</f>
        <v>0.20901887999999993</v>
      </c>
      <c r="C3">
        <f t="shared" ref="C3:C9" si="1">_xlfn.POISSON.DIST(A3,$H$5,FALSE)</f>
        <v>5.3625603682851138E-2</v>
      </c>
      <c r="E3">
        <f t="shared" ref="E3:E9" si="2">ABS(B3-C3)</f>
        <v>0.1553932763171488</v>
      </c>
      <c r="G3" t="s">
        <v>64</v>
      </c>
      <c r="H3">
        <v>8</v>
      </c>
    </row>
    <row r="4" spans="1:8" x14ac:dyDescent="0.3">
      <c r="A4">
        <v>3</v>
      </c>
      <c r="B4">
        <f t="shared" si="0"/>
        <v>0.27869184000000002</v>
      </c>
      <c r="C4">
        <f t="shared" si="1"/>
        <v>7.1500804910468209E-3</v>
      </c>
      <c r="E4">
        <f t="shared" si="2"/>
        <v>0.27154175950895321</v>
      </c>
      <c r="G4" t="s">
        <v>65</v>
      </c>
      <c r="H4">
        <v>0.4</v>
      </c>
    </row>
    <row r="5" spans="1:8" x14ac:dyDescent="0.3">
      <c r="A5">
        <v>4</v>
      </c>
      <c r="B5">
        <f t="shared" si="0"/>
        <v>0.23224320000000001</v>
      </c>
      <c r="C5">
        <f t="shared" si="1"/>
        <v>7.1500804910468196E-4</v>
      </c>
      <c r="E5">
        <f t="shared" si="2"/>
        <v>0.23152819195089533</v>
      </c>
      <c r="G5" t="str">
        <f>_xlfn.UNICHAR(955)</f>
        <v>λ</v>
      </c>
      <c r="H5">
        <v>0.4</v>
      </c>
    </row>
    <row r="6" spans="1:8" x14ac:dyDescent="0.3">
      <c r="A6">
        <v>5</v>
      </c>
      <c r="B6">
        <f t="shared" si="0"/>
        <v>0.12386303999999998</v>
      </c>
      <c r="C6">
        <f t="shared" si="1"/>
        <v>5.7200643928374612E-5</v>
      </c>
      <c r="E6">
        <f t="shared" si="2"/>
        <v>0.1238058393560716</v>
      </c>
    </row>
    <row r="7" spans="1:8" x14ac:dyDescent="0.3">
      <c r="A7">
        <v>6</v>
      </c>
      <c r="B7">
        <f t="shared" si="0"/>
        <v>4.1287680000000021E-2</v>
      </c>
      <c r="C7">
        <f t="shared" si="1"/>
        <v>3.8133762618916389E-6</v>
      </c>
      <c r="E7">
        <f t="shared" si="2"/>
        <v>4.1283866623738126E-2</v>
      </c>
    </row>
    <row r="8" spans="1:8" x14ac:dyDescent="0.3">
      <c r="A8">
        <v>7</v>
      </c>
      <c r="B8">
        <f t="shared" si="0"/>
        <v>7.8643199999999958E-3</v>
      </c>
      <c r="C8">
        <f t="shared" si="1"/>
        <v>2.1790721496523687E-7</v>
      </c>
      <c r="E8">
        <f t="shared" si="2"/>
        <v>7.8641020927850309E-3</v>
      </c>
    </row>
    <row r="9" spans="1:8" x14ac:dyDescent="0.3">
      <c r="A9">
        <v>8</v>
      </c>
      <c r="B9">
        <f t="shared" si="0"/>
        <v>6.5536000000000034E-4</v>
      </c>
      <c r="C9">
        <f t="shared" si="1"/>
        <v>1.08953607482618E-8</v>
      </c>
      <c r="E9">
        <f t="shared" si="2"/>
        <v>6.5534910463925207E-4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1C26-E90E-4C63-8EB0-6F4F160C6648}">
  <dimension ref="A1:B19"/>
  <sheetViews>
    <sheetView workbookViewId="0">
      <selection activeCell="A3" sqref="A3:B19"/>
    </sheetView>
  </sheetViews>
  <sheetFormatPr defaultRowHeight="14.4" x14ac:dyDescent="0.3"/>
  <cols>
    <col min="1" max="1" width="18.5546875" customWidth="1"/>
    <col min="2" max="2" width="27.44140625" customWidth="1"/>
  </cols>
  <sheetData>
    <row r="1" spans="1:2" x14ac:dyDescent="0.3">
      <c r="A1" t="s">
        <v>64</v>
      </c>
      <c r="B1">
        <v>15</v>
      </c>
    </row>
    <row r="2" spans="1:2" x14ac:dyDescent="0.3">
      <c r="A2" t="s">
        <v>65</v>
      </c>
      <c r="B2">
        <v>0.85</v>
      </c>
    </row>
    <row r="3" spans="1:2" x14ac:dyDescent="0.3">
      <c r="A3" t="s">
        <v>66</v>
      </c>
      <c r="B3" t="s">
        <v>67</v>
      </c>
    </row>
    <row r="4" spans="1:2" x14ac:dyDescent="0.3">
      <c r="A4">
        <v>0</v>
      </c>
      <c r="B4">
        <f>_xlfn.BINOM.DIST(A4,B$1,B$2,FALSE)</f>
        <v>4.3789389038086019E-13</v>
      </c>
    </row>
    <row r="5" spans="1:2" x14ac:dyDescent="0.3">
      <c r="A5">
        <v>1</v>
      </c>
      <c r="B5">
        <f t="shared" ref="B5:B19" si="0">_xlfn.BINOM.DIST(A5,B$1,B$2,FALSE)</f>
        <v>3.7220980682373171E-11</v>
      </c>
    </row>
    <row r="6" spans="1:2" x14ac:dyDescent="0.3">
      <c r="A6">
        <v>2</v>
      </c>
      <c r="B6">
        <f t="shared" si="0"/>
        <v>1.4764322337341338E-9</v>
      </c>
    </row>
    <row r="7" spans="1:2" x14ac:dyDescent="0.3">
      <c r="A7">
        <v>3</v>
      </c>
      <c r="B7">
        <f t="shared" si="0"/>
        <v>3.6254613739471583E-8</v>
      </c>
    </row>
    <row r="8" spans="1:2" x14ac:dyDescent="0.3">
      <c r="A8">
        <v>4</v>
      </c>
      <c r="B8">
        <f t="shared" si="0"/>
        <v>6.163284335710163E-7</v>
      </c>
    </row>
    <row r="9" spans="1:2" x14ac:dyDescent="0.3">
      <c r="A9">
        <v>5</v>
      </c>
      <c r="B9">
        <f t="shared" si="0"/>
        <v>7.6835611385186542E-6</v>
      </c>
    </row>
    <row r="10" spans="1:2" x14ac:dyDescent="0.3">
      <c r="A10">
        <v>6</v>
      </c>
      <c r="B10">
        <f t="shared" si="0"/>
        <v>7.25669663082319E-5</v>
      </c>
    </row>
    <row r="11" spans="1:2" x14ac:dyDescent="0.3">
      <c r="A11">
        <v>7</v>
      </c>
      <c r="B11">
        <f t="shared" si="0"/>
        <v>5.2870218310283122E-4</v>
      </c>
    </row>
    <row r="12" spans="1:2" x14ac:dyDescent="0.3">
      <c r="A12">
        <v>8</v>
      </c>
      <c r="B12">
        <f t="shared" si="0"/>
        <v>2.9959790375827097E-3</v>
      </c>
    </row>
    <row r="13" spans="1:2" x14ac:dyDescent="0.3">
      <c r="A13">
        <v>9</v>
      </c>
      <c r="B13">
        <f t="shared" si="0"/>
        <v>1.3204500202679359E-2</v>
      </c>
    </row>
    <row r="14" spans="1:2" x14ac:dyDescent="0.3">
      <c r="A14">
        <v>10</v>
      </c>
      <c r="B14">
        <f t="shared" si="0"/>
        <v>4.4895300689109796E-2</v>
      </c>
    </row>
    <row r="15" spans="1:2" x14ac:dyDescent="0.3">
      <c r="A15">
        <v>11</v>
      </c>
      <c r="B15">
        <f t="shared" si="0"/>
        <v>0.11563941086588875</v>
      </c>
    </row>
    <row r="16" spans="1:2" x14ac:dyDescent="0.3">
      <c r="A16">
        <v>12</v>
      </c>
      <c r="B16">
        <f t="shared" si="0"/>
        <v>0.21842999830223433</v>
      </c>
    </row>
    <row r="17" spans="1:2" x14ac:dyDescent="0.3">
      <c r="A17">
        <v>13</v>
      </c>
      <c r="B17">
        <f t="shared" si="0"/>
        <v>0.28563922854907564</v>
      </c>
    </row>
    <row r="18" spans="1:2" x14ac:dyDescent="0.3">
      <c r="A18">
        <v>14</v>
      </c>
      <c r="B18">
        <f t="shared" si="0"/>
        <v>0.23123175644448976</v>
      </c>
    </row>
    <row r="19" spans="1:2" x14ac:dyDescent="0.3">
      <c r="A19">
        <v>15</v>
      </c>
      <c r="B19">
        <f t="shared" si="0"/>
        <v>8.7354219101251684E-2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E417-E538-4C53-844F-DAB0662F6970}">
  <dimension ref="A1:B9"/>
  <sheetViews>
    <sheetView workbookViewId="0">
      <selection activeCell="D17" sqref="D17"/>
    </sheetView>
  </sheetViews>
  <sheetFormatPr defaultRowHeight="14.4" x14ac:dyDescent="0.3"/>
  <cols>
    <col min="1" max="1" width="13.88671875" customWidth="1"/>
    <col min="2" max="2" width="25.6640625" customWidth="1"/>
  </cols>
  <sheetData>
    <row r="1" spans="1:2" x14ac:dyDescent="0.3">
      <c r="A1" t="str">
        <f>_xlfn.UNICHAR(955)</f>
        <v>λ</v>
      </c>
      <c r="B1">
        <v>6</v>
      </c>
    </row>
    <row r="2" spans="1:2" x14ac:dyDescent="0.3">
      <c r="A2" t="s">
        <v>68</v>
      </c>
      <c r="B2" t="s">
        <v>69</v>
      </c>
    </row>
    <row r="3" spans="1:2" x14ac:dyDescent="0.3">
      <c r="A3">
        <v>0</v>
      </c>
      <c r="B3">
        <f>_xlfn.POISSON.DIST(A3,B$1,FALSE)</f>
        <v>2.4787521766663585E-3</v>
      </c>
    </row>
    <row r="4" spans="1:2" x14ac:dyDescent="0.3">
      <c r="A4">
        <v>2</v>
      </c>
      <c r="B4">
        <f t="shared" ref="B4:B9" si="0">_xlfn.POISSON.DIST(A4,B$1,FALSE)</f>
        <v>4.4617539179994462E-2</v>
      </c>
    </row>
    <row r="5" spans="1:2" x14ac:dyDescent="0.3">
      <c r="A5">
        <v>4</v>
      </c>
      <c r="B5">
        <f t="shared" si="0"/>
        <v>0.13385261753998337</v>
      </c>
    </row>
    <row r="6" spans="1:2" x14ac:dyDescent="0.3">
      <c r="A6">
        <v>6</v>
      </c>
      <c r="B6">
        <f t="shared" si="0"/>
        <v>0.16062314104798003</v>
      </c>
    </row>
    <row r="7" spans="1:2" x14ac:dyDescent="0.3">
      <c r="A7">
        <v>8</v>
      </c>
      <c r="B7">
        <f t="shared" si="0"/>
        <v>0.10325773353084432</v>
      </c>
    </row>
    <row r="8" spans="1:2" x14ac:dyDescent="0.3">
      <c r="A8">
        <v>10</v>
      </c>
      <c r="B8">
        <f t="shared" si="0"/>
        <v>4.1303093412337732E-2</v>
      </c>
    </row>
    <row r="9" spans="1:2" x14ac:dyDescent="0.3">
      <c r="A9">
        <v>12</v>
      </c>
      <c r="B9">
        <f t="shared" si="0"/>
        <v>1.1264480021546661E-2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62C8-CF3F-4220-979F-2A4BA2DD76B8}">
  <dimension ref="A1:C28"/>
  <sheetViews>
    <sheetView topLeftCell="A4" workbookViewId="0">
      <selection activeCell="B3" sqref="B3:C28"/>
    </sheetView>
  </sheetViews>
  <sheetFormatPr defaultRowHeight="14.4" x14ac:dyDescent="0.3"/>
  <cols>
    <col min="1" max="1" width="16.109375" customWidth="1"/>
    <col min="2" max="2" width="15" customWidth="1"/>
    <col min="3" max="3" width="20.6640625" customWidth="1"/>
  </cols>
  <sheetData>
    <row r="1" spans="1:3" x14ac:dyDescent="0.3">
      <c r="A1" t="str">
        <f>_xlfn.UNICHAR(956)</f>
        <v>μ</v>
      </c>
      <c r="B1">
        <v>3.5</v>
      </c>
    </row>
    <row r="2" spans="1:3" x14ac:dyDescent="0.3">
      <c r="A2" t="str">
        <f>_xlfn.UNICHAR(963)</f>
        <v>σ</v>
      </c>
      <c r="B2">
        <v>0.15</v>
      </c>
    </row>
    <row r="3" spans="1:3" x14ac:dyDescent="0.3">
      <c r="A3" t="s">
        <v>70</v>
      </c>
      <c r="B3" t="s">
        <v>71</v>
      </c>
      <c r="C3" t="s">
        <v>72</v>
      </c>
    </row>
    <row r="4" spans="1:3" x14ac:dyDescent="0.3">
      <c r="A4" t="s">
        <v>73</v>
      </c>
      <c r="B4">
        <v>3.1</v>
      </c>
      <c r="C4">
        <f>_xlfn.NORM.DIST(B4,B$1,B$2,FALSE)</f>
        <v>7.5973240158649716E-2</v>
      </c>
    </row>
    <row r="5" spans="1:3" x14ac:dyDescent="0.3">
      <c r="A5" t="s">
        <v>74</v>
      </c>
      <c r="B5">
        <v>3.14</v>
      </c>
      <c r="C5">
        <f t="shared" ref="C5:C27" si="0">_xlfn.NORM.DIST(B5,B$1,B$2,FALSE)</f>
        <v>0.14929686863228619</v>
      </c>
    </row>
    <row r="6" spans="1:3" x14ac:dyDescent="0.3">
      <c r="A6" t="s">
        <v>75</v>
      </c>
      <c r="B6">
        <v>3.17</v>
      </c>
      <c r="C6">
        <f t="shared" si="0"/>
        <v>0.23649728564154263</v>
      </c>
    </row>
    <row r="7" spans="1:3" x14ac:dyDescent="0.3">
      <c r="A7" t="s">
        <v>76</v>
      </c>
      <c r="B7">
        <v>3.21</v>
      </c>
      <c r="C7">
        <f t="shared" si="0"/>
        <v>0.41036534232898164</v>
      </c>
    </row>
    <row r="8" spans="1:3" x14ac:dyDescent="0.3">
      <c r="A8" t="s">
        <v>77</v>
      </c>
      <c r="B8">
        <v>3.24</v>
      </c>
      <c r="C8">
        <f t="shared" si="0"/>
        <v>0.59212307393728048</v>
      </c>
    </row>
    <row r="9" spans="1:3" x14ac:dyDescent="0.3">
      <c r="A9" t="s">
        <v>78</v>
      </c>
      <c r="B9">
        <v>3.28</v>
      </c>
      <c r="C9">
        <f t="shared" si="0"/>
        <v>0.90721654941518526</v>
      </c>
    </row>
    <row r="10" spans="1:3" x14ac:dyDescent="0.3">
      <c r="A10" t="s">
        <v>79</v>
      </c>
      <c r="B10">
        <v>3.31</v>
      </c>
      <c r="C10">
        <f t="shared" si="0"/>
        <v>1.1923894432969375</v>
      </c>
    </row>
    <row r="11" spans="1:3" x14ac:dyDescent="0.3">
      <c r="A11" t="s">
        <v>80</v>
      </c>
      <c r="B11">
        <v>3.35</v>
      </c>
      <c r="C11">
        <f t="shared" si="0"/>
        <v>1.6131381634609565</v>
      </c>
    </row>
    <row r="12" spans="1:3" x14ac:dyDescent="0.3">
      <c r="A12" t="s">
        <v>81</v>
      </c>
      <c r="B12">
        <v>3.38</v>
      </c>
      <c r="C12">
        <f t="shared" si="0"/>
        <v>1.931277018409884</v>
      </c>
    </row>
    <row r="13" spans="1:3" x14ac:dyDescent="0.3">
      <c r="A13" t="s">
        <v>82</v>
      </c>
      <c r="B13">
        <v>3.42</v>
      </c>
      <c r="C13">
        <f t="shared" si="0"/>
        <v>2.3070259545128189</v>
      </c>
    </row>
    <row r="14" spans="1:3" x14ac:dyDescent="0.3">
      <c r="A14" t="s">
        <v>83</v>
      </c>
      <c r="B14">
        <v>3.45</v>
      </c>
      <c r="C14">
        <f t="shared" si="0"/>
        <v>2.5158881846199557</v>
      </c>
    </row>
    <row r="15" spans="1:3" x14ac:dyDescent="0.3">
      <c r="A15" t="s">
        <v>84</v>
      </c>
      <c r="B15">
        <v>3.49</v>
      </c>
      <c r="C15">
        <f t="shared" si="0"/>
        <v>2.6537115087596819</v>
      </c>
    </row>
    <row r="16" spans="1:3" x14ac:dyDescent="0.3">
      <c r="A16" t="s">
        <v>85</v>
      </c>
      <c r="B16">
        <v>3.5</v>
      </c>
      <c r="C16">
        <f t="shared" si="0"/>
        <v>2.6596152026762181</v>
      </c>
    </row>
    <row r="17" spans="1:3" x14ac:dyDescent="0.3">
      <c r="A17" t="s">
        <v>86</v>
      </c>
      <c r="B17">
        <v>3.51</v>
      </c>
      <c r="C17">
        <f t="shared" si="0"/>
        <v>2.6537115087596819</v>
      </c>
    </row>
    <row r="18" spans="1:3" x14ac:dyDescent="0.3">
      <c r="A18" t="s">
        <v>87</v>
      </c>
      <c r="B18">
        <v>3.55</v>
      </c>
      <c r="C18">
        <f t="shared" si="0"/>
        <v>2.5158881846199557</v>
      </c>
    </row>
    <row r="19" spans="1:3" x14ac:dyDescent="0.3">
      <c r="A19" t="s">
        <v>88</v>
      </c>
      <c r="B19">
        <v>3.58</v>
      </c>
      <c r="C19">
        <f t="shared" si="0"/>
        <v>2.3070259545128189</v>
      </c>
    </row>
    <row r="20" spans="1:3" x14ac:dyDescent="0.3">
      <c r="A20" t="s">
        <v>89</v>
      </c>
      <c r="B20">
        <v>3.62</v>
      </c>
      <c r="C20">
        <f t="shared" si="0"/>
        <v>1.931277018409884</v>
      </c>
    </row>
    <row r="21" spans="1:3" x14ac:dyDescent="0.3">
      <c r="A21" t="s">
        <v>90</v>
      </c>
      <c r="B21">
        <v>3.65</v>
      </c>
      <c r="C21">
        <f t="shared" si="0"/>
        <v>1.6131381634609565</v>
      </c>
    </row>
    <row r="22" spans="1:3" x14ac:dyDescent="0.3">
      <c r="A22" t="s">
        <v>91</v>
      </c>
      <c r="B22">
        <v>3.69</v>
      </c>
      <c r="C22">
        <f t="shared" si="0"/>
        <v>1.1923894432969375</v>
      </c>
    </row>
    <row r="23" spans="1:3" x14ac:dyDescent="0.3">
      <c r="A23" t="s">
        <v>92</v>
      </c>
      <c r="B23">
        <v>3.72</v>
      </c>
      <c r="C23">
        <f t="shared" si="0"/>
        <v>0.90721654941518526</v>
      </c>
    </row>
    <row r="24" spans="1:3" x14ac:dyDescent="0.3">
      <c r="A24" t="s">
        <v>93</v>
      </c>
      <c r="B24">
        <v>3.76</v>
      </c>
      <c r="C24">
        <f t="shared" si="0"/>
        <v>0.59212307393728048</v>
      </c>
    </row>
    <row r="25" spans="1:3" x14ac:dyDescent="0.3">
      <c r="A25" t="s">
        <v>94</v>
      </c>
      <c r="B25">
        <v>3.79</v>
      </c>
      <c r="C25">
        <f t="shared" si="0"/>
        <v>0.41036534232898164</v>
      </c>
    </row>
    <row r="26" spans="1:3" x14ac:dyDescent="0.3">
      <c r="A26" t="s">
        <v>95</v>
      </c>
      <c r="B26">
        <v>3.83</v>
      </c>
      <c r="C26">
        <f t="shared" si="0"/>
        <v>0.23649728564154263</v>
      </c>
    </row>
    <row r="27" spans="1:3" x14ac:dyDescent="0.3">
      <c r="A27" t="s">
        <v>96</v>
      </c>
      <c r="B27">
        <v>3.86</v>
      </c>
      <c r="C27">
        <f t="shared" si="0"/>
        <v>0.14929686863228619</v>
      </c>
    </row>
    <row r="28" spans="1:3" x14ac:dyDescent="0.3">
      <c r="A28" t="s">
        <v>97</v>
      </c>
      <c r="B28">
        <v>3.9</v>
      </c>
      <c r="C28">
        <f>_xlfn.NORM.DIST(B28,B$1,B$2,FALSE)</f>
        <v>7.5973240158649716E-2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C52A-2A19-4B3F-8961-ACCD5CC7272A}">
  <dimension ref="A1:E9"/>
  <sheetViews>
    <sheetView workbookViewId="0">
      <selection activeCell="D19" sqref="D19"/>
    </sheetView>
  </sheetViews>
  <sheetFormatPr defaultRowHeight="14.4" x14ac:dyDescent="0.3"/>
  <cols>
    <col min="2" max="2" width="14.109375" customWidth="1"/>
    <col min="3" max="3" width="12" customWidth="1"/>
    <col min="5" max="5" width="11.21875" customWidth="1"/>
  </cols>
  <sheetData>
    <row r="1" spans="1:5" x14ac:dyDescent="0.3">
      <c r="A1" t="s">
        <v>98</v>
      </c>
      <c r="B1" t="s">
        <v>107</v>
      </c>
      <c r="C1" t="s">
        <v>108</v>
      </c>
      <c r="E1" t="s">
        <v>109</v>
      </c>
    </row>
    <row r="2" spans="1:5" x14ac:dyDescent="0.3">
      <c r="A2" t="s">
        <v>99</v>
      </c>
      <c r="B2">
        <v>12</v>
      </c>
      <c r="C2">
        <v>24</v>
      </c>
      <c r="E2">
        <f>_xlfn.COVARIANCE.S(B2:B9,C2:C9)</f>
        <v>108.42857142857143</v>
      </c>
    </row>
    <row r="3" spans="1:5" x14ac:dyDescent="0.3">
      <c r="A3" t="s">
        <v>100</v>
      </c>
      <c r="B3">
        <v>15</v>
      </c>
      <c r="C3">
        <v>30</v>
      </c>
    </row>
    <row r="4" spans="1:5" x14ac:dyDescent="0.3">
      <c r="A4" t="s">
        <v>101</v>
      </c>
      <c r="B4">
        <v>10</v>
      </c>
      <c r="C4">
        <v>18</v>
      </c>
    </row>
    <row r="5" spans="1:5" x14ac:dyDescent="0.3">
      <c r="A5" t="s">
        <v>102</v>
      </c>
      <c r="B5">
        <v>22</v>
      </c>
      <c r="C5">
        <v>45</v>
      </c>
    </row>
    <row r="6" spans="1:5" x14ac:dyDescent="0.3">
      <c r="A6" t="s">
        <v>103</v>
      </c>
      <c r="B6">
        <v>18</v>
      </c>
      <c r="C6">
        <v>38</v>
      </c>
    </row>
    <row r="7" spans="1:5" x14ac:dyDescent="0.3">
      <c r="A7" t="s">
        <v>104</v>
      </c>
      <c r="B7">
        <v>25</v>
      </c>
      <c r="C7">
        <v>52</v>
      </c>
    </row>
    <row r="8" spans="1:5" x14ac:dyDescent="0.3">
      <c r="A8" t="s">
        <v>105</v>
      </c>
      <c r="B8">
        <v>30</v>
      </c>
      <c r="C8">
        <v>65</v>
      </c>
    </row>
    <row r="9" spans="1:5" x14ac:dyDescent="0.3">
      <c r="A9" t="s">
        <v>106</v>
      </c>
      <c r="B9">
        <v>14</v>
      </c>
      <c r="C9">
        <v>28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BC69-B7A1-4F1D-83CE-6AF48B7B60C9}">
  <dimension ref="A1:D10"/>
  <sheetViews>
    <sheetView tabSelected="1" workbookViewId="0">
      <selection activeCell="C11" sqref="C11"/>
    </sheetView>
  </sheetViews>
  <sheetFormatPr defaultRowHeight="14.4" x14ac:dyDescent="0.3"/>
  <cols>
    <col min="1" max="1" width="21.88671875" customWidth="1"/>
  </cols>
  <sheetData>
    <row r="1" spans="1:4" x14ac:dyDescent="0.3">
      <c r="A1" t="s">
        <v>57</v>
      </c>
      <c r="B1" t="s">
        <v>110</v>
      </c>
      <c r="C1" t="s">
        <v>111</v>
      </c>
      <c r="D1" t="s">
        <v>112</v>
      </c>
    </row>
    <row r="2" spans="1:4" x14ac:dyDescent="0.3">
      <c r="A2">
        <v>2</v>
      </c>
      <c r="B2">
        <v>90</v>
      </c>
      <c r="C2">
        <v>30</v>
      </c>
      <c r="D2">
        <v>10</v>
      </c>
    </row>
    <row r="3" spans="1:4" x14ac:dyDescent="0.3">
      <c r="A3">
        <v>3</v>
      </c>
      <c r="B3">
        <v>85</v>
      </c>
      <c r="C3">
        <v>33</v>
      </c>
      <c r="D3">
        <v>30</v>
      </c>
    </row>
    <row r="4" spans="1:4" x14ac:dyDescent="0.3">
      <c r="A4">
        <v>7</v>
      </c>
      <c r="B4">
        <v>80</v>
      </c>
      <c r="C4">
        <v>40</v>
      </c>
      <c r="D4">
        <v>15</v>
      </c>
    </row>
    <row r="5" spans="1:4" x14ac:dyDescent="0.3">
      <c r="A5">
        <v>10</v>
      </c>
      <c r="B5">
        <v>77</v>
      </c>
      <c r="C5">
        <v>50</v>
      </c>
      <c r="D5">
        <v>25</v>
      </c>
    </row>
    <row r="6" spans="1:4" x14ac:dyDescent="0.3">
      <c r="A6">
        <v>12</v>
      </c>
      <c r="B6">
        <v>70</v>
      </c>
      <c r="C6">
        <v>55</v>
      </c>
      <c r="D6">
        <v>10</v>
      </c>
    </row>
    <row r="8" spans="1:4" x14ac:dyDescent="0.3">
      <c r="A8" t="s">
        <v>113</v>
      </c>
      <c r="B8" t="s">
        <v>114</v>
      </c>
      <c r="C8">
        <f>CORREL(A2:A6,B2:B6)</f>
        <v>-0.97370162907211544</v>
      </c>
    </row>
    <row r="9" spans="1:4" x14ac:dyDescent="0.3">
      <c r="B9" t="s">
        <v>115</v>
      </c>
      <c r="C9">
        <f>CORREL(B2:B6,C2:C6)</f>
        <v>-0.97026698262957678</v>
      </c>
    </row>
    <row r="10" spans="1:4" x14ac:dyDescent="0.3">
      <c r="B10" t="s">
        <v>116</v>
      </c>
      <c r="C10">
        <f>CORREL(A2:A6,D2:D6)</f>
        <v>-0.17185255576707389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  <vt:lpstr>practical9</vt:lpstr>
      <vt:lpstr>practical10</vt:lpstr>
      <vt:lpstr>practical11</vt:lpstr>
      <vt:lpstr>practical12</vt:lpstr>
      <vt:lpstr>practical13</vt:lpstr>
      <vt:lpstr>practical14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2026-04-30T02:28:08Z</dcterms:modified>
</cp:coreProperties>
</file>